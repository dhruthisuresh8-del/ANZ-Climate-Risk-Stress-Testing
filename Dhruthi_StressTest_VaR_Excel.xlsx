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hruthisuresh/Desktop/"/>
    </mc:Choice>
  </mc:AlternateContent>
  <xr:revisionPtr revIDLastSave="0" documentId="13_ncr:1_{FDF378C9-E0D0-7A4D-A527-BF663D3854E9}" xr6:coauthVersionLast="47" xr6:coauthVersionMax="47" xr10:uidLastSave="{00000000-0000-0000-0000-000000000000}"/>
  <bookViews>
    <workbookView xWindow="0" yWindow="760" windowWidth="29400" windowHeight="16900" activeTab="4" xr2:uid="{3CA81131-F8DB-B748-876B-4569A3B74A70}"/>
  </bookViews>
  <sheets>
    <sheet name="ANZ BANK- VaR" sheetId="3" r:id="rId1"/>
    <sheet name="Stress Test- Data" sheetId="4" r:id="rId2"/>
    <sheet name="Brown minus green factor" sheetId="5" r:id="rId3"/>
    <sheet name="Regression Analysis" sheetId="9" r:id="rId4"/>
    <sheet name="Top-Down Stress Test" sheetId="1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3" l="1"/>
  <c r="B21" i="3"/>
  <c r="B17" i="11"/>
  <c r="B16" i="11"/>
  <c r="B15" i="11"/>
  <c r="B12" i="11"/>
  <c r="B11" i="11"/>
  <c r="B10" i="11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" i="5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" i="4"/>
  <c r="B19" i="11" l="1"/>
  <c r="B21" i="11" s="1"/>
  <c r="G262" i="3" l="1"/>
  <c r="H262" i="3" s="1"/>
  <c r="G261" i="3"/>
  <c r="H261" i="3" s="1"/>
  <c r="G260" i="3"/>
  <c r="H260" i="3" s="1"/>
  <c r="G259" i="3"/>
  <c r="H259" i="3" s="1"/>
  <c r="G258" i="3"/>
  <c r="H258" i="3" s="1"/>
  <c r="G257" i="3"/>
  <c r="H257" i="3" s="1"/>
  <c r="G256" i="3"/>
  <c r="H256" i="3" s="1"/>
  <c r="G255" i="3"/>
  <c r="H255" i="3" s="1"/>
  <c r="G254" i="3"/>
  <c r="H254" i="3" s="1"/>
  <c r="G253" i="3"/>
  <c r="H253" i="3" s="1"/>
  <c r="G252" i="3"/>
  <c r="H252" i="3" s="1"/>
  <c r="G251" i="3"/>
  <c r="H251" i="3" s="1"/>
  <c r="G250" i="3"/>
  <c r="H250" i="3" s="1"/>
  <c r="G249" i="3"/>
  <c r="H249" i="3" s="1"/>
  <c r="G248" i="3"/>
  <c r="H248" i="3" s="1"/>
  <c r="G247" i="3"/>
  <c r="H247" i="3" s="1"/>
  <c r="G246" i="3"/>
  <c r="H246" i="3" s="1"/>
  <c r="G245" i="3"/>
  <c r="H245" i="3" s="1"/>
  <c r="G244" i="3"/>
  <c r="H244" i="3" s="1"/>
  <c r="G243" i="3"/>
  <c r="H243" i="3" s="1"/>
  <c r="G242" i="3"/>
  <c r="H242" i="3" s="1"/>
  <c r="G241" i="3"/>
  <c r="H241" i="3" s="1"/>
  <c r="G240" i="3"/>
  <c r="H240" i="3" s="1"/>
  <c r="G239" i="3"/>
  <c r="H239" i="3" s="1"/>
  <c r="G238" i="3"/>
  <c r="H238" i="3" s="1"/>
  <c r="G237" i="3"/>
  <c r="H237" i="3" s="1"/>
  <c r="G236" i="3"/>
  <c r="H236" i="3" s="1"/>
  <c r="G235" i="3"/>
  <c r="H235" i="3" s="1"/>
  <c r="G234" i="3"/>
  <c r="H234" i="3" s="1"/>
  <c r="G233" i="3"/>
  <c r="H233" i="3" s="1"/>
  <c r="G232" i="3"/>
  <c r="H232" i="3" s="1"/>
  <c r="G231" i="3"/>
  <c r="H231" i="3" s="1"/>
  <c r="G230" i="3"/>
  <c r="H230" i="3" s="1"/>
  <c r="G229" i="3"/>
  <c r="H229" i="3" s="1"/>
  <c r="G228" i="3"/>
  <c r="H228" i="3" s="1"/>
  <c r="G227" i="3"/>
  <c r="H227" i="3" s="1"/>
  <c r="G226" i="3"/>
  <c r="H226" i="3" s="1"/>
  <c r="G225" i="3"/>
  <c r="H225" i="3" s="1"/>
  <c r="G224" i="3"/>
  <c r="H224" i="3" s="1"/>
  <c r="G223" i="3"/>
  <c r="H223" i="3" s="1"/>
  <c r="G222" i="3"/>
  <c r="H222" i="3" s="1"/>
  <c r="G221" i="3"/>
  <c r="H221" i="3" s="1"/>
  <c r="G220" i="3"/>
  <c r="H220" i="3" s="1"/>
  <c r="G219" i="3"/>
  <c r="H219" i="3" s="1"/>
  <c r="G218" i="3"/>
  <c r="H218" i="3" s="1"/>
  <c r="G217" i="3"/>
  <c r="H217" i="3" s="1"/>
  <c r="G216" i="3"/>
  <c r="H216" i="3" s="1"/>
  <c r="G215" i="3"/>
  <c r="H215" i="3" s="1"/>
  <c r="G214" i="3"/>
  <c r="H214" i="3" s="1"/>
  <c r="G213" i="3"/>
  <c r="H213" i="3" s="1"/>
  <c r="G212" i="3"/>
  <c r="H212" i="3" s="1"/>
  <c r="G211" i="3"/>
  <c r="H211" i="3" s="1"/>
  <c r="G210" i="3"/>
  <c r="H210" i="3" s="1"/>
  <c r="G209" i="3"/>
  <c r="H209" i="3" s="1"/>
  <c r="G208" i="3"/>
  <c r="H208" i="3" s="1"/>
  <c r="G207" i="3"/>
  <c r="H207" i="3" s="1"/>
  <c r="G206" i="3"/>
  <c r="H206" i="3" s="1"/>
  <c r="G205" i="3"/>
  <c r="H205" i="3" s="1"/>
  <c r="G204" i="3"/>
  <c r="H204" i="3" s="1"/>
  <c r="G203" i="3"/>
  <c r="H203" i="3" s="1"/>
  <c r="G202" i="3"/>
  <c r="H202" i="3" s="1"/>
  <c r="G201" i="3"/>
  <c r="H201" i="3" s="1"/>
  <c r="G200" i="3"/>
  <c r="H200" i="3" s="1"/>
  <c r="G199" i="3"/>
  <c r="H199" i="3" s="1"/>
  <c r="G198" i="3"/>
  <c r="H198" i="3" s="1"/>
  <c r="G197" i="3"/>
  <c r="H197" i="3" s="1"/>
  <c r="G196" i="3"/>
  <c r="H196" i="3" s="1"/>
  <c r="G195" i="3"/>
  <c r="H195" i="3" s="1"/>
  <c r="G194" i="3"/>
  <c r="H194" i="3" s="1"/>
  <c r="G193" i="3"/>
  <c r="H193" i="3" s="1"/>
  <c r="G192" i="3"/>
  <c r="H192" i="3" s="1"/>
  <c r="G191" i="3"/>
  <c r="H191" i="3" s="1"/>
  <c r="G190" i="3"/>
  <c r="H190" i="3" s="1"/>
  <c r="G189" i="3"/>
  <c r="H189" i="3" s="1"/>
  <c r="G188" i="3"/>
  <c r="H188" i="3" s="1"/>
  <c r="G187" i="3"/>
  <c r="H187" i="3" s="1"/>
  <c r="G186" i="3"/>
  <c r="H186" i="3" s="1"/>
  <c r="G185" i="3"/>
  <c r="H185" i="3" s="1"/>
  <c r="G184" i="3"/>
  <c r="H184" i="3" s="1"/>
  <c r="G183" i="3"/>
  <c r="H183" i="3" s="1"/>
  <c r="G182" i="3"/>
  <c r="H182" i="3" s="1"/>
  <c r="G181" i="3"/>
  <c r="H181" i="3" s="1"/>
  <c r="G180" i="3"/>
  <c r="H180" i="3" s="1"/>
  <c r="G179" i="3"/>
  <c r="H179" i="3" s="1"/>
  <c r="G178" i="3"/>
  <c r="H178" i="3" s="1"/>
  <c r="G177" i="3"/>
  <c r="H177" i="3" s="1"/>
  <c r="G176" i="3"/>
  <c r="H176" i="3" s="1"/>
  <c r="G175" i="3"/>
  <c r="H175" i="3" s="1"/>
  <c r="G174" i="3"/>
  <c r="H174" i="3" s="1"/>
  <c r="G173" i="3"/>
  <c r="H173" i="3" s="1"/>
  <c r="G172" i="3"/>
  <c r="H172" i="3" s="1"/>
  <c r="G171" i="3"/>
  <c r="H171" i="3" s="1"/>
  <c r="G170" i="3"/>
  <c r="H170" i="3" s="1"/>
  <c r="G169" i="3"/>
  <c r="H169" i="3" s="1"/>
  <c r="G168" i="3"/>
  <c r="H168" i="3" s="1"/>
  <c r="G167" i="3"/>
  <c r="H167" i="3" s="1"/>
  <c r="G166" i="3"/>
  <c r="H166" i="3" s="1"/>
  <c r="G165" i="3"/>
  <c r="H165" i="3" s="1"/>
  <c r="G164" i="3"/>
  <c r="H164" i="3" s="1"/>
  <c r="G163" i="3"/>
  <c r="H163" i="3" s="1"/>
  <c r="G162" i="3"/>
  <c r="H162" i="3" s="1"/>
  <c r="G161" i="3"/>
  <c r="H161" i="3" s="1"/>
  <c r="G160" i="3"/>
  <c r="H160" i="3" s="1"/>
  <c r="G159" i="3"/>
  <c r="H159" i="3" s="1"/>
  <c r="G158" i="3"/>
  <c r="H158" i="3" s="1"/>
  <c r="G157" i="3"/>
  <c r="H157" i="3" s="1"/>
  <c r="G156" i="3"/>
  <c r="H156" i="3" s="1"/>
  <c r="G155" i="3"/>
  <c r="H155" i="3" s="1"/>
  <c r="G154" i="3"/>
  <c r="H154" i="3" s="1"/>
  <c r="G153" i="3"/>
  <c r="H153" i="3" s="1"/>
  <c r="G152" i="3"/>
  <c r="H152" i="3" s="1"/>
  <c r="G151" i="3"/>
  <c r="H151" i="3" s="1"/>
  <c r="G150" i="3"/>
  <c r="H150" i="3" s="1"/>
  <c r="G149" i="3"/>
  <c r="H149" i="3" s="1"/>
  <c r="G148" i="3"/>
  <c r="H148" i="3" s="1"/>
  <c r="G147" i="3"/>
  <c r="H147" i="3" s="1"/>
  <c r="G146" i="3"/>
  <c r="H146" i="3" s="1"/>
  <c r="G145" i="3"/>
  <c r="H145" i="3" s="1"/>
  <c r="G144" i="3"/>
  <c r="H144" i="3" s="1"/>
  <c r="G143" i="3"/>
  <c r="H143" i="3" s="1"/>
  <c r="G142" i="3"/>
  <c r="H142" i="3" s="1"/>
  <c r="G141" i="3"/>
  <c r="H141" i="3" s="1"/>
  <c r="G140" i="3"/>
  <c r="H140" i="3" s="1"/>
  <c r="G139" i="3"/>
  <c r="H139" i="3" s="1"/>
  <c r="G138" i="3"/>
  <c r="H138" i="3" s="1"/>
  <c r="G137" i="3"/>
  <c r="H137" i="3" s="1"/>
  <c r="G136" i="3"/>
  <c r="H136" i="3" s="1"/>
  <c r="G135" i="3"/>
  <c r="H135" i="3" s="1"/>
  <c r="G134" i="3"/>
  <c r="H134" i="3" s="1"/>
  <c r="G133" i="3"/>
  <c r="H133" i="3" s="1"/>
  <c r="G132" i="3"/>
  <c r="H132" i="3" s="1"/>
  <c r="G131" i="3"/>
  <c r="H131" i="3" s="1"/>
  <c r="G130" i="3"/>
  <c r="H130" i="3" s="1"/>
  <c r="G129" i="3"/>
  <c r="H129" i="3" s="1"/>
  <c r="G128" i="3"/>
  <c r="H128" i="3" s="1"/>
  <c r="G127" i="3"/>
  <c r="H127" i="3" s="1"/>
  <c r="G126" i="3"/>
  <c r="H126" i="3" s="1"/>
  <c r="G125" i="3"/>
  <c r="H125" i="3" s="1"/>
  <c r="G124" i="3"/>
  <c r="H124" i="3" s="1"/>
  <c r="G123" i="3"/>
  <c r="H123" i="3" s="1"/>
  <c r="G122" i="3"/>
  <c r="H122" i="3" s="1"/>
  <c r="G121" i="3"/>
  <c r="H121" i="3" s="1"/>
  <c r="G120" i="3"/>
  <c r="H120" i="3" s="1"/>
  <c r="G119" i="3"/>
  <c r="H119" i="3" s="1"/>
  <c r="G118" i="3"/>
  <c r="H118" i="3" s="1"/>
  <c r="G117" i="3"/>
  <c r="H117" i="3" s="1"/>
  <c r="G116" i="3"/>
  <c r="H116" i="3" s="1"/>
  <c r="G115" i="3"/>
  <c r="H115" i="3" s="1"/>
  <c r="G114" i="3"/>
  <c r="H114" i="3" s="1"/>
  <c r="G113" i="3"/>
  <c r="H113" i="3" s="1"/>
  <c r="G112" i="3"/>
  <c r="H112" i="3" s="1"/>
  <c r="G111" i="3"/>
  <c r="H111" i="3" s="1"/>
  <c r="G110" i="3"/>
  <c r="H110" i="3" s="1"/>
  <c r="G109" i="3"/>
  <c r="H109" i="3" s="1"/>
  <c r="G108" i="3"/>
  <c r="H108" i="3" s="1"/>
  <c r="G107" i="3"/>
  <c r="H107" i="3" s="1"/>
  <c r="G106" i="3"/>
  <c r="H106" i="3" s="1"/>
  <c r="G105" i="3"/>
  <c r="H105" i="3" s="1"/>
  <c r="G104" i="3"/>
  <c r="H104" i="3" s="1"/>
  <c r="G103" i="3"/>
  <c r="H103" i="3" s="1"/>
  <c r="G102" i="3"/>
  <c r="H102" i="3" s="1"/>
  <c r="G101" i="3"/>
  <c r="H101" i="3" s="1"/>
  <c r="G100" i="3"/>
  <c r="H100" i="3" s="1"/>
  <c r="G99" i="3"/>
  <c r="H99" i="3" s="1"/>
  <c r="G98" i="3"/>
  <c r="H98" i="3" s="1"/>
  <c r="G97" i="3"/>
  <c r="H97" i="3" s="1"/>
  <c r="G96" i="3"/>
  <c r="H96" i="3" s="1"/>
  <c r="G95" i="3"/>
  <c r="H95" i="3" s="1"/>
  <c r="G94" i="3"/>
  <c r="H94" i="3" s="1"/>
  <c r="G93" i="3"/>
  <c r="H93" i="3" s="1"/>
  <c r="G92" i="3"/>
  <c r="H92" i="3" s="1"/>
  <c r="G91" i="3"/>
  <c r="H91" i="3" s="1"/>
  <c r="G90" i="3"/>
  <c r="H90" i="3" s="1"/>
  <c r="G89" i="3"/>
  <c r="H89" i="3" s="1"/>
  <c r="G88" i="3"/>
  <c r="H88" i="3" s="1"/>
  <c r="G87" i="3"/>
  <c r="H87" i="3" s="1"/>
  <c r="G86" i="3"/>
  <c r="H86" i="3" s="1"/>
  <c r="G85" i="3"/>
  <c r="H85" i="3" s="1"/>
  <c r="G84" i="3"/>
  <c r="H84" i="3" s="1"/>
  <c r="G83" i="3"/>
  <c r="H83" i="3" s="1"/>
  <c r="G82" i="3"/>
  <c r="H82" i="3" s="1"/>
  <c r="G81" i="3"/>
  <c r="H81" i="3" s="1"/>
  <c r="G80" i="3"/>
  <c r="H80" i="3" s="1"/>
  <c r="G79" i="3"/>
  <c r="H79" i="3" s="1"/>
  <c r="G78" i="3"/>
  <c r="H78" i="3" s="1"/>
  <c r="G77" i="3"/>
  <c r="H77" i="3" s="1"/>
  <c r="G76" i="3"/>
  <c r="H76" i="3" s="1"/>
  <c r="G75" i="3"/>
  <c r="H75" i="3" s="1"/>
  <c r="G74" i="3"/>
  <c r="H74" i="3" s="1"/>
  <c r="G73" i="3"/>
  <c r="H73" i="3" s="1"/>
  <c r="G72" i="3"/>
  <c r="H72" i="3" s="1"/>
  <c r="G71" i="3"/>
  <c r="H71" i="3" s="1"/>
  <c r="G70" i="3"/>
  <c r="H70" i="3" s="1"/>
  <c r="G69" i="3"/>
  <c r="H69" i="3" s="1"/>
  <c r="G68" i="3"/>
  <c r="H68" i="3" s="1"/>
  <c r="G67" i="3"/>
  <c r="H67" i="3" s="1"/>
  <c r="G66" i="3"/>
  <c r="H66" i="3" s="1"/>
  <c r="G65" i="3"/>
  <c r="H65" i="3" s="1"/>
  <c r="G64" i="3"/>
  <c r="H64" i="3" s="1"/>
  <c r="G63" i="3"/>
  <c r="H63" i="3" s="1"/>
  <c r="G62" i="3"/>
  <c r="H62" i="3" s="1"/>
  <c r="G61" i="3"/>
  <c r="H61" i="3" s="1"/>
  <c r="G60" i="3"/>
  <c r="H60" i="3" s="1"/>
  <c r="G59" i="3"/>
  <c r="H59" i="3" s="1"/>
  <c r="G58" i="3"/>
  <c r="H58" i="3" s="1"/>
  <c r="G57" i="3"/>
  <c r="H57" i="3" s="1"/>
  <c r="G56" i="3"/>
  <c r="H56" i="3" s="1"/>
  <c r="G55" i="3"/>
  <c r="H55" i="3" s="1"/>
  <c r="G54" i="3"/>
  <c r="H54" i="3" s="1"/>
  <c r="G53" i="3"/>
  <c r="H53" i="3" s="1"/>
  <c r="G52" i="3"/>
  <c r="H52" i="3" s="1"/>
  <c r="G51" i="3"/>
  <c r="H51" i="3" s="1"/>
  <c r="G50" i="3"/>
  <c r="H50" i="3" s="1"/>
  <c r="G49" i="3"/>
  <c r="H49" i="3" s="1"/>
  <c r="G48" i="3"/>
  <c r="H48" i="3" s="1"/>
  <c r="G47" i="3"/>
  <c r="H47" i="3" s="1"/>
  <c r="G46" i="3"/>
  <c r="H46" i="3" s="1"/>
  <c r="G45" i="3"/>
  <c r="H45" i="3" s="1"/>
  <c r="G44" i="3"/>
  <c r="H44" i="3" s="1"/>
  <c r="G43" i="3"/>
  <c r="H43" i="3" s="1"/>
  <c r="G42" i="3"/>
  <c r="H42" i="3" s="1"/>
  <c r="G41" i="3"/>
  <c r="H41" i="3" s="1"/>
  <c r="G40" i="3"/>
  <c r="H40" i="3" s="1"/>
  <c r="G39" i="3"/>
  <c r="H39" i="3" s="1"/>
  <c r="G38" i="3"/>
  <c r="H38" i="3" s="1"/>
  <c r="G37" i="3"/>
  <c r="H37" i="3" s="1"/>
  <c r="G36" i="3"/>
  <c r="H36" i="3" s="1"/>
  <c r="G35" i="3"/>
  <c r="H35" i="3" s="1"/>
  <c r="G34" i="3"/>
  <c r="H34" i="3" s="1"/>
  <c r="G33" i="3"/>
  <c r="H33" i="3" s="1"/>
  <c r="G32" i="3"/>
  <c r="H32" i="3" s="1"/>
  <c r="G31" i="3"/>
  <c r="H31" i="3" s="1"/>
  <c r="G30" i="3"/>
  <c r="H30" i="3" s="1"/>
  <c r="G29" i="3"/>
  <c r="H29" i="3" s="1"/>
  <c r="G28" i="3"/>
  <c r="H28" i="3" s="1"/>
  <c r="G27" i="3"/>
  <c r="H27" i="3" s="1"/>
  <c r="G26" i="3"/>
  <c r="H26" i="3" s="1"/>
  <c r="G25" i="3"/>
  <c r="H25" i="3" s="1"/>
  <c r="G24" i="3"/>
  <c r="H24" i="3" s="1"/>
  <c r="G23" i="3"/>
  <c r="H23" i="3" s="1"/>
  <c r="G22" i="3"/>
  <c r="H22" i="3" s="1"/>
  <c r="G21" i="3"/>
  <c r="H21" i="3" s="1"/>
  <c r="G20" i="3"/>
  <c r="H20" i="3" s="1"/>
  <c r="G19" i="3"/>
  <c r="H19" i="3" s="1"/>
  <c r="G18" i="3"/>
  <c r="H18" i="3" s="1"/>
  <c r="G17" i="3"/>
  <c r="H17" i="3" s="1"/>
  <c r="G16" i="3"/>
  <c r="H16" i="3" s="1"/>
  <c r="G15" i="3"/>
  <c r="H15" i="3" s="1"/>
  <c r="G14" i="3"/>
  <c r="H14" i="3" s="1"/>
  <c r="G13" i="3"/>
  <c r="H13" i="3" s="1"/>
  <c r="G12" i="3"/>
  <c r="H12" i="3" s="1"/>
  <c r="G11" i="3"/>
  <c r="H11" i="3" s="1"/>
  <c r="G10" i="3"/>
  <c r="H10" i="3" s="1"/>
  <c r="G9" i="3"/>
  <c r="H9" i="3" s="1"/>
  <c r="G8" i="3"/>
  <c r="H8" i="3" s="1"/>
  <c r="G7" i="3"/>
  <c r="H7" i="3" s="1"/>
  <c r="G6" i="3"/>
  <c r="H6" i="3" s="1"/>
  <c r="G5" i="3"/>
  <c r="H5" i="3" s="1"/>
  <c r="B15" i="3" l="1"/>
  <c r="B16" i="3"/>
  <c r="B18" i="3" l="1"/>
  <c r="B17" i="3"/>
</calcChain>
</file>

<file path=xl/sharedStrings.xml><?xml version="1.0" encoding="utf-8"?>
<sst xmlns="http://schemas.openxmlformats.org/spreadsheetml/2006/main" count="92" uniqueCount="80">
  <si>
    <t>Date</t>
  </si>
  <si>
    <t>Portfolio Value (V)</t>
  </si>
  <si>
    <t>Exposure in AUD</t>
  </si>
  <si>
    <t>Confidence Level 1</t>
  </si>
  <si>
    <t>95% VaR</t>
  </si>
  <si>
    <t>Confidence Level 2</t>
  </si>
  <si>
    <t>99% VaR</t>
  </si>
  <si>
    <t>Horizon (Days)</t>
  </si>
  <si>
    <t>1-day VaR horizon</t>
  </si>
  <si>
    <t>Method</t>
  </si>
  <si>
    <t>Historical Simulation</t>
  </si>
  <si>
    <t>Main VaR method</t>
  </si>
  <si>
    <t>Stress Type</t>
  </si>
  <si>
    <t>Top-down Hypothetical Disorderly Transition</t>
  </si>
  <si>
    <t>Based on Week 7 slides</t>
  </si>
  <si>
    <t>Market shock for stress test</t>
  </si>
  <si>
    <t>Data Source</t>
  </si>
  <si>
    <t>Investing.com (ANZ.AX)</t>
  </si>
  <si>
    <t>Daily Price (AUD)</t>
  </si>
  <si>
    <t>Daily Log Return</t>
  </si>
  <si>
    <t>Daily Loss/ Gain</t>
  </si>
  <si>
    <t>Label</t>
  </si>
  <si>
    <t>Value</t>
  </si>
  <si>
    <t>Resource</t>
  </si>
  <si>
    <t>95% VaR as % of portfolio</t>
  </si>
  <si>
    <t>99% VaR as % of portfolio</t>
  </si>
  <si>
    <t>VaR</t>
  </si>
  <si>
    <t>ANZ Price</t>
  </si>
  <si>
    <t>ASX200 Price</t>
  </si>
  <si>
    <t>ANZ Bank</t>
  </si>
  <si>
    <t>ICLN Price- Green</t>
  </si>
  <si>
    <t>ASX200 Energy- Brown</t>
  </si>
  <si>
    <t>ANZ Returns</t>
  </si>
  <si>
    <t>ASX200 Returns</t>
  </si>
  <si>
    <t>ASX200 Energy- Brown- Returns</t>
  </si>
  <si>
    <t xml:space="preserve"> ICLN Price- Green- Returns</t>
  </si>
  <si>
    <t>Brown - Green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</si>
  <si>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</si>
  <si>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</si>
  <si>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</si>
  <si>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</si>
  <si>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</si>
  <si>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</si>
  <si>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</si>
  <si>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</si>
  <si>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</si>
  <si>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</si>
  <si>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</si>
  <si>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</si>
  <si>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</si>
  <si>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</si>
  <si>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</si>
  <si>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</si>
  <si>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</si>
  <si>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</si>
  <si>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</si>
  <si>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</si>
  <si>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</si>
  <si>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</si>
  <si>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</si>
  <si>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</si>
  <si>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Interpretation</t>
  </si>
  <si>
    <t>β_MKT (ASX200)</t>
  </si>
  <si>
    <t>β_Climate (Brown–Green)</t>
  </si>
  <si>
    <t>R²</t>
  </si>
  <si>
    <t>S_MKT</t>
  </si>
  <si>
    <t>S_CRF</t>
  </si>
  <si>
    <t>Energy index (Brown)</t>
  </si>
  <si>
    <t>Derived shock to Brown–Green climate factor</t>
  </si>
  <si>
    <t>Assumed shock to ASX200 (market)</t>
  </si>
  <si>
    <t>Clean energy index (Green)</t>
  </si>
  <si>
    <t>Implied loss</t>
  </si>
  <si>
    <t>Stressed Test ANZ Bank</t>
  </si>
  <si>
    <t>Market Stress</t>
  </si>
  <si>
    <t>Climate Stress</t>
  </si>
  <si>
    <t>Combined Stress</t>
  </si>
  <si>
    <t>Climate VaR</t>
  </si>
  <si>
    <t>95% Climate VaR</t>
  </si>
  <si>
    <t>99% Climate VaR</t>
  </si>
  <si>
    <t>Stress Shock (30%- short term for 1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</si>
</sst>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164" formatCode="0.0000"/>
    <numFmt numFmtId="165" formatCode="_([$AUD]\ * #,##0_);_([$AUD]\ * \(#,##0\);_([$AUD]\ * &quot;-&quot;??_);_(@_)"/>
    <numFmt numFmtId="166" formatCode="#,##0.000"/>
    <numFmt numFmtId="167" formatCode="#,##0.0000"/>
    <numFmt numFmtId="168" formatCode="0.000000"/>
    <numFmt numFmtId="169" formatCode="0.000%"/>
    <numFmt numFmtId="170" formatCode="\A\$#,##0.0&quot;b&quot;"/>
    <numFmt numFmtId="171" formatCode="_-[$$-C09]* #,##0.00_-;\-[$$-C09]* #,##0.00_-;_-[$$-C09]* &quot;-&quot;??_-;_-@_-"/>
  </numFmts>
  <fonts count="2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1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0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8">
    <xf numFmtId="0" fontId="0" fillId="0" borderId="0" xfId="0"/>
    <xf numFmtId="0" fontId="16" fillId="0" borderId="0" xfId="0" applyFont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6" fillId="0" borderId="18" xfId="0" applyFont="1" applyBorder="1"/>
    <xf numFmtId="0" fontId="16" fillId="0" borderId="19" xfId="0" applyFont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6" fillId="0" borderId="27" xfId="0" applyFont="1" applyBorder="1"/>
    <xf numFmtId="0" fontId="16" fillId="0" borderId="25" xfId="0" applyFont="1" applyBorder="1"/>
    <xf numFmtId="10" fontId="0" fillId="0" borderId="26" xfId="2" applyNumberFormat="1" applyFont="1" applyBorder="1"/>
    <xf numFmtId="0" fontId="16" fillId="0" borderId="29" xfId="0" applyFont="1" applyBorder="1"/>
    <xf numFmtId="10" fontId="0" fillId="0" borderId="30" xfId="2" applyNumberFormat="1" applyFont="1" applyBorder="1"/>
    <xf numFmtId="164" fontId="0" fillId="0" borderId="0" xfId="0" applyNumberFormat="1"/>
    <xf numFmtId="165" fontId="0" fillId="0" borderId="28" xfId="0" applyNumberFormat="1" applyBorder="1"/>
    <xf numFmtId="165" fontId="0" fillId="0" borderId="26" xfId="0" applyNumberFormat="1" applyBorder="1"/>
    <xf numFmtId="0" fontId="13" fillId="33" borderId="10" xfId="0" applyFont="1" applyFill="1" applyBorder="1" applyAlignment="1">
      <alignment horizontal="center"/>
    </xf>
    <xf numFmtId="0" fontId="13" fillId="33" borderId="11" xfId="0" applyFont="1" applyFill="1" applyBorder="1" applyAlignment="1">
      <alignment horizontal="center"/>
    </xf>
    <xf numFmtId="0" fontId="13" fillId="33" borderId="12" xfId="0" applyFont="1" applyFill="1" applyBorder="1" applyAlignment="1">
      <alignment horizontal="center"/>
    </xf>
    <xf numFmtId="14" fontId="0" fillId="0" borderId="13" xfId="0" applyNumberFormat="1" applyBorder="1"/>
    <xf numFmtId="14" fontId="0" fillId="0" borderId="15" xfId="0" applyNumberFormat="1" applyBorder="1"/>
    <xf numFmtId="0" fontId="13" fillId="33" borderId="20" xfId="0" applyFont="1" applyFill="1" applyBorder="1" applyAlignment="1">
      <alignment horizontal="center"/>
    </xf>
    <xf numFmtId="0" fontId="13" fillId="33" borderId="21" xfId="0" applyFont="1" applyFill="1" applyBorder="1" applyAlignment="1">
      <alignment horizontal="center"/>
    </xf>
    <xf numFmtId="0" fontId="13" fillId="33" borderId="22" xfId="0" applyFont="1" applyFill="1" applyBorder="1" applyAlignment="1">
      <alignment horizontal="center"/>
    </xf>
    <xf numFmtId="14" fontId="0" fillId="0" borderId="0" xfId="0" applyNumberFormat="1"/>
    <xf numFmtId="0" fontId="0" fillId="0" borderId="18" xfId="0" applyBorder="1"/>
    <xf numFmtId="4" fontId="0" fillId="0" borderId="18" xfId="0" applyNumberFormat="1" applyBorder="1"/>
    <xf numFmtId="4" fontId="0" fillId="0" borderId="0" xfId="0" applyNumberFormat="1"/>
    <xf numFmtId="0" fontId="19" fillId="0" borderId="0" xfId="0" applyFont="1"/>
    <xf numFmtId="0" fontId="21" fillId="0" borderId="0" xfId="0" applyFont="1"/>
    <xf numFmtId="14" fontId="20" fillId="0" borderId="0" xfId="0" applyNumberFormat="1" applyFont="1"/>
    <xf numFmtId="0" fontId="20" fillId="0" borderId="0" xfId="0" applyFont="1"/>
    <xf numFmtId="0" fontId="22" fillId="0" borderId="18" xfId="0" applyFont="1" applyBorder="1"/>
    <xf numFmtId="0" fontId="22" fillId="0" borderId="25" xfId="0" applyFont="1" applyBorder="1"/>
    <xf numFmtId="14" fontId="0" fillId="0" borderId="25" xfId="0" applyNumberFormat="1" applyBorder="1"/>
    <xf numFmtId="14" fontId="0" fillId="0" borderId="29" xfId="0" applyNumberFormat="1" applyBorder="1"/>
    <xf numFmtId="0" fontId="0" fillId="0" borderId="35" xfId="0" applyBorder="1"/>
    <xf numFmtId="4" fontId="0" fillId="0" borderId="35" xfId="0" applyNumberFormat="1" applyBorder="1"/>
    <xf numFmtId="0" fontId="18" fillId="0" borderId="18" xfId="0" applyFont="1" applyBorder="1"/>
    <xf numFmtId="166" fontId="0" fillId="0" borderId="18" xfId="0" applyNumberFormat="1" applyBorder="1"/>
    <xf numFmtId="0" fontId="13" fillId="33" borderId="27" xfId="0" applyFont="1" applyFill="1" applyBorder="1" applyAlignment="1">
      <alignment horizontal="center"/>
    </xf>
    <xf numFmtId="0" fontId="13" fillId="33" borderId="36" xfId="0" applyFont="1" applyFill="1" applyBorder="1" applyAlignment="1">
      <alignment horizontal="center"/>
    </xf>
    <xf numFmtId="166" fontId="0" fillId="0" borderId="35" xfId="0" applyNumberFormat="1" applyBorder="1"/>
    <xf numFmtId="0" fontId="13" fillId="33" borderId="28" xfId="0" applyFont="1" applyFill="1" applyBorder="1" applyAlignment="1">
      <alignment horizontal="center"/>
    </xf>
    <xf numFmtId="0" fontId="22" fillId="0" borderId="26" xfId="0" applyFont="1" applyBorder="1"/>
    <xf numFmtId="4" fontId="0" fillId="0" borderId="26" xfId="0" applyNumberFormat="1" applyBorder="1"/>
    <xf numFmtId="167" fontId="0" fillId="0" borderId="26" xfId="0" applyNumberFormat="1" applyBorder="1"/>
    <xf numFmtId="167" fontId="0" fillId="0" borderId="30" xfId="0" applyNumberFormat="1" applyBorder="1"/>
    <xf numFmtId="0" fontId="23" fillId="0" borderId="37" xfId="0" applyFont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3" fillId="0" borderId="38" xfId="0" applyFont="1" applyBorder="1" applyAlignment="1">
      <alignment horizontal="center"/>
    </xf>
    <xf numFmtId="0" fontId="23" fillId="0" borderId="40" xfId="0" applyFont="1" applyBorder="1" applyAlignment="1">
      <alignment horizontal="center"/>
    </xf>
    <xf numFmtId="0" fontId="23" fillId="0" borderId="0" xfId="0" applyFont="1" applyAlignment="1">
      <alignment horizontal="centerContinuous"/>
    </xf>
    <xf numFmtId="0" fontId="23" fillId="0" borderId="0" xfId="0" applyFont="1" applyAlignment="1">
      <alignment horizontal="center"/>
    </xf>
    <xf numFmtId="168" fontId="13" fillId="0" borderId="0" xfId="0" applyNumberFormat="1" applyFont="1"/>
    <xf numFmtId="169" fontId="0" fillId="0" borderId="18" xfId="2" applyNumberFormat="1" applyFont="1" applyBorder="1"/>
    <xf numFmtId="169" fontId="0" fillId="0" borderId="0" xfId="2" applyNumberFormat="1" applyFont="1"/>
    <xf numFmtId="169" fontId="13" fillId="33" borderId="36" xfId="2" applyNumberFormat="1" applyFont="1" applyFill="1" applyBorder="1" applyAlignment="1">
      <alignment horizontal="center"/>
    </xf>
    <xf numFmtId="169" fontId="13" fillId="33" borderId="28" xfId="2" applyNumberFormat="1" applyFont="1" applyFill="1" applyBorder="1" applyAlignment="1">
      <alignment horizontal="center"/>
    </xf>
    <xf numFmtId="169" fontId="0" fillId="0" borderId="26" xfId="2" applyNumberFormat="1" applyFont="1" applyBorder="1"/>
    <xf numFmtId="169" fontId="0" fillId="0" borderId="35" xfId="2" applyNumberFormat="1" applyFont="1" applyBorder="1"/>
    <xf numFmtId="169" fontId="0" fillId="0" borderId="30" xfId="2" applyNumberFormat="1" applyFont="1" applyBorder="1"/>
    <xf numFmtId="0" fontId="25" fillId="33" borderId="15" xfId="0" applyFont="1" applyFill="1" applyBorder="1"/>
    <xf numFmtId="170" fontId="25" fillId="33" borderId="17" xfId="0" applyNumberFormat="1" applyFont="1" applyFill="1" applyBorder="1"/>
    <xf numFmtId="0" fontId="25" fillId="33" borderId="13" xfId="0" applyFont="1" applyFill="1" applyBorder="1"/>
    <xf numFmtId="164" fontId="25" fillId="33" borderId="14" xfId="0" applyNumberFormat="1" applyFont="1" applyFill="1" applyBorder="1"/>
    <xf numFmtId="10" fontId="0" fillId="0" borderId="26" xfId="0" applyNumberFormat="1" applyBorder="1"/>
    <xf numFmtId="171" fontId="24" fillId="0" borderId="26" xfId="1" applyNumberFormat="1" applyFont="1" applyBorder="1" applyAlignment="1">
      <alignment horizontal="right"/>
    </xf>
    <xf numFmtId="0" fontId="0" fillId="0" borderId="26" xfId="0" applyBorder="1" applyAlignment="1">
      <alignment horizontal="right"/>
    </xf>
    <xf numFmtId="164" fontId="0" fillId="0" borderId="26" xfId="0" applyNumberFormat="1" applyBorder="1"/>
    <xf numFmtId="2" fontId="0" fillId="0" borderId="26" xfId="0" applyNumberFormat="1" applyBorder="1" applyAlignment="1">
      <alignment horizontal="right"/>
    </xf>
    <xf numFmtId="166" fontId="0" fillId="0" borderId="26" xfId="0" applyNumberFormat="1" applyBorder="1"/>
    <xf numFmtId="166" fontId="0" fillId="0" borderId="30" xfId="0" applyNumberFormat="1" applyBorder="1"/>
    <xf numFmtId="0" fontId="13" fillId="33" borderId="15" xfId="0" applyFont="1" applyFill="1" applyBorder="1" applyAlignment="1">
      <alignment horizontal="center"/>
    </xf>
    <xf numFmtId="0" fontId="13" fillId="33" borderId="16" xfId="0" applyFont="1" applyFill="1" applyBorder="1" applyAlignment="1">
      <alignment horizontal="center"/>
    </xf>
    <xf numFmtId="0" fontId="13" fillId="33" borderId="31" xfId="0" applyFont="1" applyFill="1" applyBorder="1" applyAlignment="1">
      <alignment horizontal="center"/>
    </xf>
    <xf numFmtId="0" fontId="13" fillId="33" borderId="32" xfId="0" applyFont="1" applyFill="1" applyBorder="1" applyAlignment="1">
      <alignment horizontal="center"/>
    </xf>
    <xf numFmtId="0" fontId="13" fillId="33" borderId="33" xfId="0" applyFont="1" applyFill="1" applyBorder="1" applyAlignment="1">
      <alignment horizontal="center"/>
    </xf>
    <xf numFmtId="169" fontId="13" fillId="33" borderId="38" xfId="2" applyNumberFormat="1" applyFont="1" applyFill="1" applyBorder="1" applyAlignment="1">
      <alignment horizontal="center"/>
    </xf>
    <xf numFmtId="169" fontId="13" fillId="33" borderId="39" xfId="2" applyNumberFormat="1" applyFont="1" applyFill="1" applyBorder="1" applyAlignment="1">
      <alignment horizontal="center"/>
    </xf>
    <xf numFmtId="169" fontId="13" fillId="33" borderId="41" xfId="2" applyNumberFormat="1" applyFont="1" applyFill="1" applyBorder="1" applyAlignment="1">
      <alignment horizontal="center"/>
    </xf>
    <xf numFmtId="169" fontId="13" fillId="33" borderId="34" xfId="2" applyNumberFormat="1" applyFont="1" applyFill="1" applyBorder="1" applyAlignment="1">
      <alignment horizontal="center"/>
    </xf>
    <xf numFmtId="169" fontId="13" fillId="33" borderId="40" xfId="2" applyNumberFormat="1" applyFont="1" applyFill="1" applyBorder="1" applyAlignment="1">
      <alignment horizontal="center"/>
    </xf>
    <xf numFmtId="165" fontId="0" fillId="0" borderId="26" xfId="1" applyNumberFormat="1" applyFont="1" applyFill="1" applyBorder="1"/>
    <xf numFmtId="165" fontId="0" fillId="0" borderId="30" xfId="1" applyNumberFormat="1" applyFont="1" applyFill="1" applyBorder="1"/>
    <xf numFmtId="0" fontId="13" fillId="33" borderId="38" xfId="0" applyFont="1" applyFill="1" applyBorder="1" applyAlignment="1">
      <alignment horizontal="center"/>
    </xf>
    <xf numFmtId="0" fontId="13" fillId="33" borderId="40" xfId="0" applyFont="1" applyFill="1" applyBorder="1" applyAlignment="1">
      <alignment horizontal="center"/>
    </xf>
    <xf numFmtId="0" fontId="16" fillId="0" borderId="18" xfId="0" applyFont="1" applyBorder="1" applyAlignment="1">
      <alignment horizontal="right"/>
    </xf>
    <xf numFmtId="0" fontId="16" fillId="0" borderId="18" xfId="2" applyNumberFormat="1" applyFont="1" applyBorder="1" applyAlignment="1">
      <alignment horizontal="right"/>
    </xf>
    <xf numFmtId="0" fontId="0" fillId="0" borderId="10" xfId="0" applyBorder="1"/>
    <xf numFmtId="0" fontId="0" fillId="0" borderId="0" xfId="0" applyBorder="1"/>
    <xf numFmtId="0" fontId="22" fillId="0" borderId="15" xfId="0" applyFont="1" applyBorder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'ANZ BANK- VaR'!$H$1:$H$3</c:f>
              <c:strCache>
                <c:ptCount val="3"/>
                <c:pt idx="2">
                  <c:v>Daily Loss/ Gain</c:v>
                </c:pt>
              </c:strCache>
            </c:strRef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'ANZ BANK- VaR'!$H$4:$H$262</c:f>
              <c:numCache>
                <c:formatCode>General</c:formatCode>
                <c:ptCount val="259"/>
                <c:pt idx="1">
                  <c:v>-386.62285422638729</c:v>
                </c:pt>
                <c:pt idx="2">
                  <c:v>-3874.4721075585221</c:v>
                </c:pt>
                <c:pt idx="3">
                  <c:v>-10536.682848128958</c:v>
                </c:pt>
                <c:pt idx="4">
                  <c:v>6257.3532287545195</c:v>
                </c:pt>
                <c:pt idx="5">
                  <c:v>8926.8980159213515</c:v>
                </c:pt>
                <c:pt idx="6">
                  <c:v>-4259.4449684261135</c:v>
                </c:pt>
                <c:pt idx="7">
                  <c:v>11574.203281136706</c:v>
                </c:pt>
                <c:pt idx="8">
                  <c:v>-8087.8546016990049</c:v>
                </c:pt>
                <c:pt idx="9">
                  <c:v>3088.8055445864211</c:v>
                </c:pt>
                <c:pt idx="10">
                  <c:v>-5411.6869607261333</c:v>
                </c:pt>
                <c:pt idx="11">
                  <c:v>-2328.2897595911845</c:v>
                </c:pt>
                <c:pt idx="12">
                  <c:v>-12116.622733952241</c:v>
                </c:pt>
                <c:pt idx="13">
                  <c:v>22166.958587453864</c:v>
                </c:pt>
                <c:pt idx="14">
                  <c:v>9569.4510161506732</c:v>
                </c:pt>
                <c:pt idx="15">
                  <c:v>12869.216217295787</c:v>
                </c:pt>
                <c:pt idx="16">
                  <c:v>3004.1329389945704</c:v>
                </c:pt>
                <c:pt idx="17">
                  <c:v>4116.002069103497</c:v>
                </c:pt>
                <c:pt idx="18">
                  <c:v>-1120.866921010919</c:v>
                </c:pt>
                <c:pt idx="19">
                  <c:v>4103.71775307601</c:v>
                </c:pt>
                <c:pt idx="20">
                  <c:v>-2982.8508320650244</c:v>
                </c:pt>
                <c:pt idx="21">
                  <c:v>11509.315833977224</c:v>
                </c:pt>
                <c:pt idx="22">
                  <c:v>0</c:v>
                </c:pt>
                <c:pt idx="23">
                  <c:v>1106.8069751910471</c:v>
                </c:pt>
                <c:pt idx="24">
                  <c:v>-737.73518653958672</c:v>
                </c:pt>
                <c:pt idx="25">
                  <c:v>14652.276786870414</c:v>
                </c:pt>
                <c:pt idx="26">
                  <c:v>4354.1433086204343</c:v>
                </c:pt>
                <c:pt idx="27">
                  <c:v>-1449.2756159903981</c:v>
                </c:pt>
                <c:pt idx="28">
                  <c:v>2534.8556031881158</c:v>
                </c:pt>
                <c:pt idx="29">
                  <c:v>18276.803321497908</c:v>
                </c:pt>
                <c:pt idx="30">
                  <c:v>-11787.955752042353</c:v>
                </c:pt>
                <c:pt idx="31">
                  <c:v>-4682.162344506608</c:v>
                </c:pt>
                <c:pt idx="32">
                  <c:v>24956.73197386746</c:v>
                </c:pt>
                <c:pt idx="33">
                  <c:v>-3174.046043352063</c:v>
                </c:pt>
                <c:pt idx="34">
                  <c:v>-7089.7142053677062</c:v>
                </c:pt>
                <c:pt idx="35">
                  <c:v>-9651.5494522215849</c:v>
                </c:pt>
                <c:pt idx="36">
                  <c:v>8583.7436913914353</c:v>
                </c:pt>
                <c:pt idx="37">
                  <c:v>2489.7754280889353</c:v>
                </c:pt>
                <c:pt idx="38">
                  <c:v>5314.4500634926671</c:v>
                </c:pt>
                <c:pt idx="39">
                  <c:v>3527.3405179684405</c:v>
                </c:pt>
                <c:pt idx="40">
                  <c:v>1759.0154051796244</c:v>
                </c:pt>
                <c:pt idx="41">
                  <c:v>-703.23490943148545</c:v>
                </c:pt>
                <c:pt idx="42">
                  <c:v>351.67927213170856</c:v>
                </c:pt>
                <c:pt idx="43">
                  <c:v>12578.782206860185</c:v>
                </c:pt>
                <c:pt idx="44">
                  <c:v>347.16195453670156</c:v>
                </c:pt>
                <c:pt idx="45">
                  <c:v>-347.16195453674885</c:v>
                </c:pt>
                <c:pt idx="46">
                  <c:v>3466.2079764861073</c:v>
                </c:pt>
                <c:pt idx="47">
                  <c:v>15450.951155719104</c:v>
                </c:pt>
                <c:pt idx="48">
                  <c:v>10169.579169629013</c:v>
                </c:pt>
                <c:pt idx="49">
                  <c:v>-8127.3728778307241</c:v>
                </c:pt>
                <c:pt idx="50">
                  <c:v>3055.5107798704967</c:v>
                </c:pt>
                <c:pt idx="51">
                  <c:v>6756.782462879687</c:v>
                </c:pt>
                <c:pt idx="52">
                  <c:v>-45110.075323774101</c:v>
                </c:pt>
                <c:pt idx="53">
                  <c:v>10511.659508393528</c:v>
                </c:pt>
                <c:pt idx="54">
                  <c:v>6946.8844848703775</c:v>
                </c:pt>
                <c:pt idx="55">
                  <c:v>-3814.8130189221342</c:v>
                </c:pt>
                <c:pt idx="56">
                  <c:v>4160.893659164718</c:v>
                </c:pt>
                <c:pt idx="57">
                  <c:v>7240.162639145381</c:v>
                </c:pt>
                <c:pt idx="58">
                  <c:v>1373.1550389696069</c:v>
                </c:pt>
                <c:pt idx="59">
                  <c:v>-3436.4294985810984</c:v>
                </c:pt>
                <c:pt idx="60">
                  <c:v>-1722.6533114461818</c:v>
                </c:pt>
                <c:pt idx="61">
                  <c:v>11996.716287631507</c:v>
                </c:pt>
                <c:pt idx="62">
                  <c:v>-5123.8369998695061</c:v>
                </c:pt>
                <c:pt idx="63">
                  <c:v>6485.7711565900463</c:v>
                </c:pt>
                <c:pt idx="64">
                  <c:v>-7856.5732903686549</c:v>
                </c:pt>
                <c:pt idx="65">
                  <c:v>-5502.0771539834213</c:v>
                </c:pt>
                <c:pt idx="66">
                  <c:v>10291.686036547724</c:v>
                </c:pt>
                <c:pt idx="67">
                  <c:v>0</c:v>
                </c:pt>
                <c:pt idx="68">
                  <c:v>2045.6877232931072</c:v>
                </c:pt>
                <c:pt idx="69">
                  <c:v>2381.3584990666513</c:v>
                </c:pt>
                <c:pt idx="70">
                  <c:v>-18865.248220755981</c:v>
                </c:pt>
                <c:pt idx="71">
                  <c:v>2075.407178712358</c:v>
                </c:pt>
                <c:pt idx="72">
                  <c:v>-8327.5984377624281</c:v>
                </c:pt>
                <c:pt idx="73">
                  <c:v>3130.9818585089865</c:v>
                </c:pt>
                <c:pt idx="74">
                  <c:v>-12934.981955129866</c:v>
                </c:pt>
                <c:pt idx="75">
                  <c:v>-4231.3180197626971</c:v>
                </c:pt>
                <c:pt idx="76">
                  <c:v>2822.8670827045025</c:v>
                </c:pt>
                <c:pt idx="77">
                  <c:v>-6362.6937878286572</c:v>
                </c:pt>
                <c:pt idx="78">
                  <c:v>12334.958157951365</c:v>
                </c:pt>
                <c:pt idx="79">
                  <c:v>4891.69389125414</c:v>
                </c:pt>
                <c:pt idx="80">
                  <c:v>-20779.053653573323</c:v>
                </c:pt>
                <c:pt idx="81">
                  <c:v>2842.9301308340237</c:v>
                </c:pt>
                <c:pt idx="82">
                  <c:v>-7479.9992566657966</c:v>
                </c:pt>
                <c:pt idx="83">
                  <c:v>-3581.6657200114855</c:v>
                </c:pt>
                <c:pt idx="84">
                  <c:v>11771.136450210908</c:v>
                </c:pt>
                <c:pt idx="85">
                  <c:v>8122.9477188404408</c:v>
                </c:pt>
                <c:pt idx="86">
                  <c:v>12930.461478991887</c:v>
                </c:pt>
                <c:pt idx="87">
                  <c:v>-17513.582492708356</c:v>
                </c:pt>
                <c:pt idx="88">
                  <c:v>22017.314338851767</c:v>
                </c:pt>
                <c:pt idx="89">
                  <c:v>4139.3643098766242</c:v>
                </c:pt>
                <c:pt idx="90">
                  <c:v>-3793.7620945823746</c:v>
                </c:pt>
                <c:pt idx="91">
                  <c:v>-31949.35602664086</c:v>
                </c:pt>
                <c:pt idx="92">
                  <c:v>2850.019741743502</c:v>
                </c:pt>
                <c:pt idx="93">
                  <c:v>-3920.8747432365508</c:v>
                </c:pt>
                <c:pt idx="94">
                  <c:v>714.03073365697344</c:v>
                </c:pt>
                <c:pt idx="95">
                  <c:v>2139.0382487494421</c:v>
                </c:pt>
                <c:pt idx="96">
                  <c:v>4973.3672670576307</c:v>
                </c:pt>
                <c:pt idx="97">
                  <c:v>0</c:v>
                </c:pt>
                <c:pt idx="98">
                  <c:v>-2483.5918389685676</c:v>
                </c:pt>
                <c:pt idx="99">
                  <c:v>9897.571077209006</c:v>
                </c:pt>
                <c:pt idx="100">
                  <c:v>-703.72979681183858</c:v>
                </c:pt>
                <c:pt idx="101">
                  <c:v>-10971.619526396447</c:v>
                </c:pt>
                <c:pt idx="102">
                  <c:v>9915.0953921964447</c:v>
                </c:pt>
                <c:pt idx="103">
                  <c:v>0</c:v>
                </c:pt>
                <c:pt idx="104">
                  <c:v>2463.4888404433923</c:v>
                </c:pt>
                <c:pt idx="105">
                  <c:v>-5286.3559231479494</c:v>
                </c:pt>
                <c:pt idx="106">
                  <c:v>-22513.010850357383</c:v>
                </c:pt>
                <c:pt idx="107">
                  <c:v>17553.737491007134</c:v>
                </c:pt>
                <c:pt idx="108">
                  <c:v>9542.3943730667033</c:v>
                </c:pt>
                <c:pt idx="109">
                  <c:v>5262.2468388128664</c:v>
                </c:pt>
                <c:pt idx="110">
                  <c:v>349.83383249916733</c:v>
                </c:pt>
                <c:pt idx="111">
                  <c:v>12858.561183295231</c:v>
                </c:pt>
                <c:pt idx="112">
                  <c:v>-2420.0530393717099</c:v>
                </c:pt>
                <c:pt idx="113">
                  <c:v>1383.6045098998725</c:v>
                </c:pt>
                <c:pt idx="114">
                  <c:v>0</c:v>
                </c:pt>
                <c:pt idx="115">
                  <c:v>-4156.5698916066176</c:v>
                </c:pt>
                <c:pt idx="116">
                  <c:v>3465.0069318177061</c:v>
                </c:pt>
                <c:pt idx="117">
                  <c:v>-9383.2139358097666</c:v>
                </c:pt>
                <c:pt idx="118">
                  <c:v>0</c:v>
                </c:pt>
                <c:pt idx="119">
                  <c:v>9037.2530259414689</c:v>
                </c:pt>
                <c:pt idx="120">
                  <c:v>11696.039763191236</c:v>
                </c:pt>
                <c:pt idx="121">
                  <c:v>-9622.0673640620971</c:v>
                </c:pt>
                <c:pt idx="122">
                  <c:v>7567.9755771238551</c:v>
                </c:pt>
                <c:pt idx="123">
                  <c:v>-6532.6001610754511</c:v>
                </c:pt>
                <c:pt idx="124">
                  <c:v>-6575.5557916638572</c:v>
                </c:pt>
                <c:pt idx="125">
                  <c:v>-2781.6429618769139</c:v>
                </c:pt>
                <c:pt idx="126">
                  <c:v>-23605.112211318094</c:v>
                </c:pt>
                <c:pt idx="127">
                  <c:v>13104.490700249251</c:v>
                </c:pt>
                <c:pt idx="128">
                  <c:v>-11323.546329254468</c:v>
                </c:pt>
                <c:pt idx="129">
                  <c:v>8857.4538340610234</c:v>
                </c:pt>
                <c:pt idx="130">
                  <c:v>2466.0924951934685</c:v>
                </c:pt>
                <c:pt idx="131">
                  <c:v>-5999.6650765046934</c:v>
                </c:pt>
                <c:pt idx="132">
                  <c:v>7406.1350692563628</c:v>
                </c:pt>
                <c:pt idx="133">
                  <c:v>10138.17458165314</c:v>
                </c:pt>
                <c:pt idx="134">
                  <c:v>0</c:v>
                </c:pt>
                <c:pt idx="135">
                  <c:v>5895.6300472044486</c:v>
                </c:pt>
                <c:pt idx="136">
                  <c:v>11346.176387301522</c:v>
                </c:pt>
                <c:pt idx="137">
                  <c:v>21978.906718775168</c:v>
                </c:pt>
                <c:pt idx="138">
                  <c:v>-13807.257569455925</c:v>
                </c:pt>
                <c:pt idx="139">
                  <c:v>7095.8229814690803</c:v>
                </c:pt>
                <c:pt idx="140">
                  <c:v>8382.2787528044391</c:v>
                </c:pt>
                <c:pt idx="141">
                  <c:v>-3009.532450413994</c:v>
                </c:pt>
                <c:pt idx="142">
                  <c:v>8005.3796437858509</c:v>
                </c:pt>
                <c:pt idx="143">
                  <c:v>-10352.405029639185</c:v>
                </c:pt>
                <c:pt idx="144">
                  <c:v>-14539.562978876049</c:v>
                </c:pt>
                <c:pt idx="145">
                  <c:v>11177.085029353617</c:v>
                </c:pt>
                <c:pt idx="146">
                  <c:v>-4049.9549112825953</c:v>
                </c:pt>
                <c:pt idx="147">
                  <c:v>-10880.760186520398</c:v>
                </c:pt>
                <c:pt idx="148">
                  <c:v>9865.7034253681195</c:v>
                </c:pt>
                <c:pt idx="149">
                  <c:v>-6112.0733569188933</c:v>
                </c:pt>
                <c:pt idx="150">
                  <c:v>-42796.581244549401</c:v>
                </c:pt>
                <c:pt idx="151">
                  <c:v>17269.151626539468</c:v>
                </c:pt>
                <c:pt idx="152">
                  <c:v>25186.772145800518</c:v>
                </c:pt>
                <c:pt idx="153">
                  <c:v>-16143.23224948001</c:v>
                </c:pt>
                <c:pt idx="154">
                  <c:v>-26668.247082161295</c:v>
                </c:pt>
                <c:pt idx="155">
                  <c:v>-25938.053548439722</c:v>
                </c:pt>
                <c:pt idx="156">
                  <c:v>-5856.5321127129837</c:v>
                </c:pt>
                <c:pt idx="157">
                  <c:v>2932.5534212777197</c:v>
                </c:pt>
                <c:pt idx="158">
                  <c:v>23513.472511279022</c:v>
                </c:pt>
                <c:pt idx="159">
                  <c:v>8898.4392107995645</c:v>
                </c:pt>
                <c:pt idx="160">
                  <c:v>6358.1987424925028</c:v>
                </c:pt>
                <c:pt idx="161">
                  <c:v>15720.847786948245</c:v>
                </c:pt>
                <c:pt idx="162">
                  <c:v>693.00072073524086</c:v>
                </c:pt>
                <c:pt idx="163">
                  <c:v>21926.195280004413</c:v>
                </c:pt>
                <c:pt idx="164">
                  <c:v>-338.92560907398138</c:v>
                </c:pt>
                <c:pt idx="165">
                  <c:v>13468.217050866611</c:v>
                </c:pt>
                <c:pt idx="166">
                  <c:v>1002.8414679667992</c:v>
                </c:pt>
                <c:pt idx="167">
                  <c:v>4666.675135830149</c:v>
                </c:pt>
                <c:pt idx="168">
                  <c:v>-9355.2302752467986</c:v>
                </c:pt>
                <c:pt idx="169">
                  <c:v>-10121.543898006106</c:v>
                </c:pt>
                <c:pt idx="170">
                  <c:v>5748.1138826011893</c:v>
                </c:pt>
                <c:pt idx="171">
                  <c:v>-2024.9753797712792</c:v>
                </c:pt>
                <c:pt idx="172">
                  <c:v>13089.631430902928</c:v>
                </c:pt>
                <c:pt idx="173">
                  <c:v>6977.9316199062996</c:v>
                </c:pt>
                <c:pt idx="174">
                  <c:v>3305.7881344996317</c:v>
                </c:pt>
                <c:pt idx="175">
                  <c:v>10832.20832936043</c:v>
                </c:pt>
                <c:pt idx="176">
                  <c:v>2282.7337484676891</c:v>
                </c:pt>
                <c:pt idx="177">
                  <c:v>-1303.7811494833809</c:v>
                </c:pt>
                <c:pt idx="178">
                  <c:v>16497.220335577622</c:v>
                </c:pt>
                <c:pt idx="179">
                  <c:v>5120.0111848545548</c:v>
                </c:pt>
                <c:pt idx="180">
                  <c:v>13316.620374600245</c:v>
                </c:pt>
                <c:pt idx="181">
                  <c:v>-9493.7421922511494</c:v>
                </c:pt>
                <c:pt idx="182">
                  <c:v>-11191.163961260992</c:v>
                </c:pt>
                <c:pt idx="183">
                  <c:v>9281.5516686736646</c:v>
                </c:pt>
                <c:pt idx="184">
                  <c:v>-5750.8145711741145</c:v>
                </c:pt>
                <c:pt idx="185">
                  <c:v>6069.3366315194389</c:v>
                </c:pt>
                <c:pt idx="186">
                  <c:v>-4148.7214444577094</c:v>
                </c:pt>
                <c:pt idx="187">
                  <c:v>8597.4100651424815</c:v>
                </c:pt>
                <c:pt idx="188">
                  <c:v>2216.9446926340388</c:v>
                </c:pt>
                <c:pt idx="189">
                  <c:v>3789.0793675779469</c:v>
                </c:pt>
                <c:pt idx="190">
                  <c:v>2203.6841910268813</c:v>
                </c:pt>
                <c:pt idx="191">
                  <c:v>-23867.48140664343</c:v>
                </c:pt>
                <c:pt idx="192">
                  <c:v>-4195.5846602665551</c:v>
                </c:pt>
                <c:pt idx="193">
                  <c:v>-7140.5691260698377</c:v>
                </c:pt>
                <c:pt idx="194">
                  <c:v>-9820.0461809754615</c:v>
                </c:pt>
                <c:pt idx="195">
                  <c:v>2628.1224062696301</c:v>
                </c:pt>
                <c:pt idx="196">
                  <c:v>-17875.351826963193</c:v>
                </c:pt>
                <c:pt idx="197">
                  <c:v>8646.5453893414815</c:v>
                </c:pt>
                <c:pt idx="198">
                  <c:v>-6311.2649285481175</c:v>
                </c:pt>
                <c:pt idx="199">
                  <c:v>-6351.350115683389</c:v>
                </c:pt>
                <c:pt idx="200">
                  <c:v>1675.322891426174</c:v>
                </c:pt>
                <c:pt idx="201">
                  <c:v>17587.976184157589</c:v>
                </c:pt>
                <c:pt idx="202">
                  <c:v>-1316.655884746785</c:v>
                </c:pt>
                <c:pt idx="203">
                  <c:v>-5284.0281466052666</c:v>
                </c:pt>
                <c:pt idx="204">
                  <c:v>10540.282035432268</c:v>
                </c:pt>
                <c:pt idx="205">
                  <c:v>15282.365383400562</c:v>
                </c:pt>
                <c:pt idx="206">
                  <c:v>3543.2473855317389</c:v>
                </c:pt>
                <c:pt idx="207">
                  <c:v>16898.218132369009</c:v>
                </c:pt>
                <c:pt idx="208">
                  <c:v>5674.6684434953095</c:v>
                </c:pt>
                <c:pt idx="209">
                  <c:v>-3464.0248778177624</c:v>
                </c:pt>
                <c:pt idx="210">
                  <c:v>-8553.8300737586924</c:v>
                </c:pt>
                <c:pt idx="211">
                  <c:v>-8306.7570302304139</c:v>
                </c:pt>
                <c:pt idx="212">
                  <c:v>8942.8893672037084</c:v>
                </c:pt>
                <c:pt idx="213">
                  <c:v>8863.6224486546434</c:v>
                </c:pt>
                <c:pt idx="214">
                  <c:v>-630.51704484820607</c:v>
                </c:pt>
                <c:pt idx="215">
                  <c:v>-8869.2377407797721</c:v>
                </c:pt>
                <c:pt idx="216">
                  <c:v>7922.7161367488616</c:v>
                </c:pt>
                <c:pt idx="217">
                  <c:v>-13666.19076381454</c:v>
                </c:pt>
                <c:pt idx="218">
                  <c:v>-11263.192278710827</c:v>
                </c:pt>
                <c:pt idx="219">
                  <c:v>9982.3723789884407</c:v>
                </c:pt>
                <c:pt idx="220">
                  <c:v>1280.8198997223465</c:v>
                </c:pt>
                <c:pt idx="221">
                  <c:v>-1601.2813669738791</c:v>
                </c:pt>
                <c:pt idx="222">
                  <c:v>17474.630523263921</c:v>
                </c:pt>
                <c:pt idx="223">
                  <c:v>314.9110402343718</c:v>
                </c:pt>
                <c:pt idx="224">
                  <c:v>10336.818742830603</c:v>
                </c:pt>
                <c:pt idx="225">
                  <c:v>2178.9891889998671</c:v>
                </c:pt>
                <c:pt idx="226">
                  <c:v>-26785.908972451205</c:v>
                </c:pt>
                <c:pt idx="227">
                  <c:v>3507.0974891609158</c:v>
                </c:pt>
                <c:pt idx="228">
                  <c:v>12021.656958656082</c:v>
                </c:pt>
                <c:pt idx="229">
                  <c:v>14361.782910931539</c:v>
                </c:pt>
                <c:pt idx="230">
                  <c:v>4330.3501012208962</c:v>
                </c:pt>
                <c:pt idx="231">
                  <c:v>-3091.1925696728581</c:v>
                </c:pt>
                <c:pt idx="232">
                  <c:v>6172.8591070810162</c:v>
                </c:pt>
                <c:pt idx="233">
                  <c:v>-4935.2351867308989</c:v>
                </c:pt>
                <c:pt idx="234">
                  <c:v>-2786.8109071793951</c:v>
                </c:pt>
                <c:pt idx="235">
                  <c:v>-12166.738759879037</c:v>
                </c:pt>
                <c:pt idx="236">
                  <c:v>-10729.03949222409</c:v>
                </c:pt>
                <c:pt idx="237">
                  <c:v>-3814.3720754706774</c:v>
                </c:pt>
                <c:pt idx="238">
                  <c:v>-3189.7953681000381</c:v>
                </c:pt>
                <c:pt idx="239">
                  <c:v>-4803.8523126455002</c:v>
                </c:pt>
                <c:pt idx="240">
                  <c:v>17186.928469367322</c:v>
                </c:pt>
                <c:pt idx="241">
                  <c:v>-4427.5847156072477</c:v>
                </c:pt>
                <c:pt idx="242">
                  <c:v>-9554.2128048117211</c:v>
                </c:pt>
                <c:pt idx="243">
                  <c:v>-960.4610951245719</c:v>
                </c:pt>
                <c:pt idx="244">
                  <c:v>-10302.731183586209</c:v>
                </c:pt>
                <c:pt idx="245">
                  <c:v>-34906.408568139595</c:v>
                </c:pt>
                <c:pt idx="246">
                  <c:v>-10104.498232326421</c:v>
                </c:pt>
                <c:pt idx="247">
                  <c:v>-16382.61896109689</c:v>
                </c:pt>
                <c:pt idx="248">
                  <c:v>-3792.4541231325757</c:v>
                </c:pt>
                <c:pt idx="249">
                  <c:v>7570.5798606259305</c:v>
                </c:pt>
                <c:pt idx="250">
                  <c:v>685.4009863933685</c:v>
                </c:pt>
                <c:pt idx="251">
                  <c:v>10225.037961161395</c:v>
                </c:pt>
                <c:pt idx="252">
                  <c:v>-23675.835685284575</c:v>
                </c:pt>
                <c:pt idx="253">
                  <c:v>-14690.715410003706</c:v>
                </c:pt>
                <c:pt idx="254">
                  <c:v>-4591.214139446628</c:v>
                </c:pt>
                <c:pt idx="255">
                  <c:v>14757.822302828523</c:v>
                </c:pt>
                <c:pt idx="256">
                  <c:v>-697.83673452997778</c:v>
                </c:pt>
                <c:pt idx="257">
                  <c:v>2788.4298304496756</c:v>
                </c:pt>
                <c:pt idx="258">
                  <c:v>-1044.7502256228497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DE-F142-9EF1-91B140787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6971199"/>
        <c:axId val="676972911"/>
      </c:lineChart>
      <c:catAx>
        <c:axId val="6769711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76972911"/>
        <c:crosses val="autoZero"/>
        <c:auto val="1"/>
        <c:lblAlgn val="ctr"/>
        <c:lblOffset val="100"/>
        <c:noMultiLvlLbl val="0"/>
      </c:catAx>
      <c:valAx>
        <c:axId val="67697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971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Stress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47-6F48-946B-93B819EFDE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47-6F48-946B-93B819EFDE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47-6F48-946B-93B819EFDE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'Top-Down Stress Test'!$A$15:$A$17</c:f>
              <c:strCache>
                <c:ptCount val="3"/>
                <c:pt idx="0">
                  <c:v>Market Stress</c:v>
                </c:pt>
                <c:pt idx="1">
                  <c:v>Climate Stress</c:v>
                </c:pt>
                <c:pt idx="2">
                  <c:v>Combined Stress</c:v>
                </c:pt>
              </c:strCache>
            </c:strRef>
          </c:cat>
          <c:val>
            <c:numRef>
              <c:f>'Top-Down Stress Test'!$B$15:$B$17</c:f>
              <c:numCache>
                <c:formatCode>General</c:formatCode>
                <c:ptCount val="3"/>
                <c:pt idx="0">
                  <c:v>-0.17326755326498014</c:v>
                </c:pt>
                <c:pt idx="1">
                  <c:v>2.6745683060479175E-3</c:v>
                </c:pt>
                <c:pt idx="2">
                  <c:v>-0.17059298495893221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79-4642-90C4-0E2BAEC1686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24</xdr:row>
      <xdr:rowOff>19050</xdr:rowOff>
    </xdr:from>
    <xdr:to>
      <xdr:col>2</xdr:col>
      <xdr:colOff>1695450</xdr:colOff>
      <xdr:row>37</xdr:row>
      <xdr:rowOff>120650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8B8227D-2EF4-DF7E-DE9D-537F1C4C06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279400</xdr:colOff>
      <xdr:row>3</xdr:row>
      <xdr:rowOff>0</xdr:rowOff>
    </xdr:from>
    <xdr:to>
      <xdr:col>7</xdr:col>
      <xdr:colOff>819150</xdr:colOff>
      <xdr:row>5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0CCF7F-217E-004D-B464-1ABAB0F27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6500" y="622300"/>
          <a:ext cx="4667250" cy="444500"/>
        </a:xfrm>
        <a:prstGeom prst="rect">
          <a:avLst/>
        </a:prstGeom>
      </xdr:spPr>
    </xdr:pic>
    <xdr:clientData/>
  </xdr:twoCellAnchor>
  <xdr:twoCellAnchor>
    <xdr:from>
      <xdr:col>2</xdr:col>
      <xdr:colOff>298450</xdr:colOff>
      <xdr:row>7</xdr:row>
      <xdr:rowOff>25400</xdr:rowOff>
    </xdr:from>
    <xdr:to>
      <xdr:col>8</xdr:col>
      <xdr:colOff>0</xdr:colOff>
      <xdr:row>21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A19DB4-E443-4248-9593-DF52D201AE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D1087-7ACD-0A47-A802-15B117AA97C5}">
  <dimension ref="A1:I262"/>
  <sheetViews>
    <sheetView workbookViewId="0">
      <selection activeCell="C21" sqref="C21"/>
    </sheetView>
  </sheetViews>
  <sheetFormatPr baseColWidth="10" defaultColWidth="17.6640625" defaultRowHeight="16" x14ac:dyDescent="0.2"/>
  <cols>
    <col min="1" max="1" width="34.1640625" bestFit="1" customWidth="1"/>
    <col min="2" max="2" width="38" bestFit="1" customWidth="1"/>
    <col min="3" max="3" width="23.33203125" bestFit="1" customWidth="1"/>
    <col min="5" max="5" width="20.6640625"/>
    <col min="6" max="6" width="15.33203125" bestFit="1" customWidth="1"/>
    <col min="7" max="8" width="14.5" bestFit="1" customWidth="1"/>
    <col min="9" max="9" width="25" bestFit="1" customWidth="1"/>
  </cols>
  <sheetData>
    <row r="1" spans="1:9" ht="17" thickBot="1" x14ac:dyDescent="0.25">
      <c r="A1" s="81" t="s">
        <v>29</v>
      </c>
      <c r="B1" s="82"/>
      <c r="C1" s="82"/>
      <c r="D1" s="82"/>
      <c r="E1" s="82"/>
      <c r="F1" s="82"/>
      <c r="G1" s="82"/>
      <c r="H1" s="83"/>
    </row>
    <row r="2" spans="1:9" ht="17" thickBot="1" x14ac:dyDescent="0.25"/>
    <row r="3" spans="1:9" ht="17" thickBot="1" x14ac:dyDescent="0.25">
      <c r="A3" s="25" t="s">
        <v>21</v>
      </c>
      <c r="B3" s="26" t="s">
        <v>22</v>
      </c>
      <c r="C3" s="27" t="s">
        <v>23</v>
      </c>
      <c r="E3" s="20" t="s">
        <v>0</v>
      </c>
      <c r="F3" s="21" t="s">
        <v>18</v>
      </c>
      <c r="G3" s="21" t="s">
        <v>19</v>
      </c>
      <c r="H3" s="22" t="s">
        <v>20</v>
      </c>
      <c r="I3" s="1"/>
    </row>
    <row r="4" spans="1:9" x14ac:dyDescent="0.2">
      <c r="A4" s="8" t="s">
        <v>1</v>
      </c>
      <c r="B4" s="7">
        <v>1000000</v>
      </c>
      <c r="C4" s="9" t="s">
        <v>2</v>
      </c>
      <c r="E4" s="23">
        <v>45293</v>
      </c>
      <c r="F4">
        <v>25.87</v>
      </c>
      <c r="H4" s="2"/>
    </row>
    <row r="5" spans="1:9" x14ac:dyDescent="0.2">
      <c r="A5" s="10" t="s">
        <v>3</v>
      </c>
      <c r="B5" s="6">
        <v>0.95</v>
      </c>
      <c r="C5" s="11" t="s">
        <v>4</v>
      </c>
      <c r="E5" s="23">
        <v>45294</v>
      </c>
      <c r="F5">
        <v>25.86</v>
      </c>
      <c r="G5">
        <f>LN(F5/F4)</f>
        <v>-3.8662285422638731E-4</v>
      </c>
      <c r="H5" s="2">
        <f t="shared" ref="H5:H68" si="0">G5*$B$4</f>
        <v>-386.62285422638729</v>
      </c>
      <c r="I5" s="17"/>
    </row>
    <row r="6" spans="1:9" x14ac:dyDescent="0.2">
      <c r="A6" s="10" t="s">
        <v>5</v>
      </c>
      <c r="B6" s="6">
        <v>0.99</v>
      </c>
      <c r="C6" s="11" t="s">
        <v>6</v>
      </c>
      <c r="E6" s="23">
        <v>45295</v>
      </c>
      <c r="F6">
        <v>25.76</v>
      </c>
      <c r="G6">
        <f t="shared" ref="G6:G69" si="1">LN(F6/F5)</f>
        <v>-3.8744721075585223E-3</v>
      </c>
      <c r="H6" s="2">
        <f t="shared" si="0"/>
        <v>-3874.4721075585221</v>
      </c>
      <c r="I6" s="17"/>
    </row>
    <row r="7" spans="1:9" x14ac:dyDescent="0.2">
      <c r="A7" s="10" t="s">
        <v>7</v>
      </c>
      <c r="B7" s="6">
        <v>1</v>
      </c>
      <c r="C7" s="11" t="s">
        <v>8</v>
      </c>
      <c r="E7" s="23">
        <v>45296</v>
      </c>
      <c r="F7">
        <v>25.49</v>
      </c>
      <c r="G7">
        <f t="shared" si="1"/>
        <v>-1.0536682848128958E-2</v>
      </c>
      <c r="H7" s="2">
        <f t="shared" si="0"/>
        <v>-10536.682848128958</v>
      </c>
      <c r="I7" s="17"/>
    </row>
    <row r="8" spans="1:9" x14ac:dyDescent="0.2">
      <c r="A8" s="10" t="s">
        <v>9</v>
      </c>
      <c r="B8" s="93" t="s">
        <v>10</v>
      </c>
      <c r="C8" s="11" t="s">
        <v>11</v>
      </c>
      <c r="E8" s="23">
        <v>45299</v>
      </c>
      <c r="F8">
        <v>25.65</v>
      </c>
      <c r="G8">
        <f t="shared" si="1"/>
        <v>6.2573532287545199E-3</v>
      </c>
      <c r="H8" s="2">
        <f t="shared" si="0"/>
        <v>6257.3532287545195</v>
      </c>
      <c r="I8" s="17"/>
    </row>
    <row r="9" spans="1:9" x14ac:dyDescent="0.2">
      <c r="A9" s="10" t="s">
        <v>12</v>
      </c>
      <c r="B9" s="93" t="s">
        <v>13</v>
      </c>
      <c r="C9" s="11" t="s">
        <v>14</v>
      </c>
      <c r="E9" s="23">
        <v>45300</v>
      </c>
      <c r="F9">
        <v>25.88</v>
      </c>
      <c r="G9">
        <f t="shared" si="1"/>
        <v>8.9268980159213519E-3</v>
      </c>
      <c r="H9" s="2">
        <f t="shared" si="0"/>
        <v>8926.8980159213515</v>
      </c>
      <c r="I9" s="17"/>
    </row>
    <row r="10" spans="1:9" x14ac:dyDescent="0.2">
      <c r="A10" s="10" t="s">
        <v>79</v>
      </c>
      <c r="B10" s="94">
        <v>1.3</v>
      </c>
      <c r="C10" s="11" t="s">
        <v>15</v>
      </c>
      <c r="E10" s="23">
        <v>45301</v>
      </c>
      <c r="F10">
        <v>25.77</v>
      </c>
      <c r="G10">
        <f t="shared" si="1"/>
        <v>-4.2594449684261139E-3</v>
      </c>
      <c r="H10" s="2">
        <f t="shared" si="0"/>
        <v>-4259.4449684261135</v>
      </c>
      <c r="I10" s="17"/>
    </row>
    <row r="11" spans="1:9" x14ac:dyDescent="0.2">
      <c r="A11" s="10" t="s">
        <v>16</v>
      </c>
      <c r="B11" s="93" t="s">
        <v>17</v>
      </c>
      <c r="C11" s="11"/>
      <c r="E11" s="23">
        <v>45302</v>
      </c>
      <c r="F11">
        <v>26.07</v>
      </c>
      <c r="G11">
        <f t="shared" si="1"/>
        <v>1.1574203281136706E-2</v>
      </c>
      <c r="H11" s="2">
        <f t="shared" si="0"/>
        <v>11574.203281136706</v>
      </c>
      <c r="I11" s="17"/>
    </row>
    <row r="12" spans="1:9" ht="17" thickBot="1" x14ac:dyDescent="0.25">
      <c r="A12" s="3"/>
      <c r="B12" s="4"/>
      <c r="C12" s="5"/>
      <c r="E12" s="23">
        <v>45303</v>
      </c>
      <c r="F12">
        <v>25.86</v>
      </c>
      <c r="G12">
        <f t="shared" si="1"/>
        <v>-8.0878546016990051E-3</v>
      </c>
      <c r="H12" s="2">
        <f t="shared" si="0"/>
        <v>-8087.8546016990049</v>
      </c>
      <c r="I12" s="17"/>
    </row>
    <row r="13" spans="1:9" x14ac:dyDescent="0.2">
      <c r="E13" s="23">
        <v>45306</v>
      </c>
      <c r="F13">
        <v>25.94</v>
      </c>
      <c r="G13">
        <f t="shared" si="1"/>
        <v>3.0888055445864211E-3</v>
      </c>
      <c r="H13" s="2">
        <f t="shared" si="0"/>
        <v>3088.8055445864211</v>
      </c>
      <c r="I13" s="17"/>
    </row>
    <row r="14" spans="1:9" ht="17" thickBot="1" x14ac:dyDescent="0.25">
      <c r="A14" s="79" t="s">
        <v>26</v>
      </c>
      <c r="B14" s="80"/>
      <c r="E14" s="23">
        <v>45307</v>
      </c>
      <c r="F14">
        <v>25.8</v>
      </c>
      <c r="G14">
        <f t="shared" si="1"/>
        <v>-5.411686960726133E-3</v>
      </c>
      <c r="H14" s="2">
        <f t="shared" si="0"/>
        <v>-5411.6869607261333</v>
      </c>
      <c r="I14" s="17"/>
    </row>
    <row r="15" spans="1:9" x14ac:dyDescent="0.2">
      <c r="A15" s="12" t="s">
        <v>4</v>
      </c>
      <c r="B15" s="18">
        <f>ABS(_xlfn.PERCENTILE.EXC(H5:H262,0.05))</f>
        <v>18960.938492396846</v>
      </c>
      <c r="E15" s="23">
        <v>45308</v>
      </c>
      <c r="F15">
        <v>25.74</v>
      </c>
      <c r="G15">
        <f t="shared" si="1"/>
        <v>-2.3282897595911845E-3</v>
      </c>
      <c r="H15" s="2">
        <f t="shared" si="0"/>
        <v>-2328.2897595911845</v>
      </c>
      <c r="I15" s="17"/>
    </row>
    <row r="16" spans="1:9" x14ac:dyDescent="0.2">
      <c r="A16" s="13" t="s">
        <v>6</v>
      </c>
      <c r="B16" s="19">
        <f>ABS(_xlfn.PERCENTILE.EXC(H5:H262,0.01))</f>
        <v>38141.379365467619</v>
      </c>
      <c r="E16" s="23">
        <v>45309</v>
      </c>
      <c r="F16">
        <v>25.43</v>
      </c>
      <c r="G16">
        <f t="shared" si="1"/>
        <v>-1.2116622733952242E-2</v>
      </c>
      <c r="H16" s="2">
        <f t="shared" si="0"/>
        <v>-12116.622733952241</v>
      </c>
      <c r="I16" s="17"/>
    </row>
    <row r="17" spans="1:9" x14ac:dyDescent="0.2">
      <c r="A17" s="13" t="s">
        <v>24</v>
      </c>
      <c r="B17" s="14">
        <f>B15/$B$4</f>
        <v>1.8960938492396846E-2</v>
      </c>
      <c r="E17" s="23">
        <v>45310</v>
      </c>
      <c r="F17">
        <v>26</v>
      </c>
      <c r="G17">
        <f t="shared" si="1"/>
        <v>2.2166958587453864E-2</v>
      </c>
      <c r="H17" s="2">
        <f t="shared" si="0"/>
        <v>22166.958587453864</v>
      </c>
      <c r="I17" s="17"/>
    </row>
    <row r="18" spans="1:9" ht="17" thickBot="1" x14ac:dyDescent="0.25">
      <c r="A18" s="15" t="s">
        <v>25</v>
      </c>
      <c r="B18" s="16">
        <f>B16/$B$4</f>
        <v>3.8141379365467618E-2</v>
      </c>
      <c r="E18" s="23">
        <v>45313</v>
      </c>
      <c r="F18">
        <v>26.25</v>
      </c>
      <c r="G18">
        <f t="shared" si="1"/>
        <v>9.5694510161506725E-3</v>
      </c>
      <c r="H18" s="2">
        <f t="shared" si="0"/>
        <v>9569.4510161506732</v>
      </c>
      <c r="I18" s="17"/>
    </row>
    <row r="19" spans="1:9" ht="17" thickBot="1" x14ac:dyDescent="0.25">
      <c r="E19" s="23">
        <v>45314</v>
      </c>
      <c r="F19">
        <v>26.59</v>
      </c>
      <c r="G19">
        <f t="shared" si="1"/>
        <v>1.2869216217295787E-2</v>
      </c>
      <c r="H19" s="2">
        <f t="shared" si="0"/>
        <v>12869.216217295787</v>
      </c>
      <c r="I19" s="17"/>
    </row>
    <row r="20" spans="1:9" x14ac:dyDescent="0.2">
      <c r="A20" s="91" t="s">
        <v>76</v>
      </c>
      <c r="B20" s="92"/>
      <c r="E20" s="23">
        <v>45315</v>
      </c>
      <c r="F20">
        <v>26.67</v>
      </c>
      <c r="G20">
        <f t="shared" si="1"/>
        <v>3.0041329389945705E-3</v>
      </c>
      <c r="H20" s="2">
        <f t="shared" si="0"/>
        <v>3004.1329389945704</v>
      </c>
      <c r="I20" s="17"/>
    </row>
    <row r="21" spans="1:9" x14ac:dyDescent="0.2">
      <c r="A21" s="13" t="s">
        <v>77</v>
      </c>
      <c r="B21" s="89">
        <f>B15*B10</f>
        <v>24649.220040115903</v>
      </c>
      <c r="E21" s="23">
        <v>45316</v>
      </c>
      <c r="F21">
        <v>26.78</v>
      </c>
      <c r="G21">
        <f t="shared" si="1"/>
        <v>4.1160020691034969E-3</v>
      </c>
      <c r="H21" s="2">
        <f t="shared" si="0"/>
        <v>4116.002069103497</v>
      </c>
      <c r="I21" s="17"/>
    </row>
    <row r="22" spans="1:9" ht="17" thickBot="1" x14ac:dyDescent="0.25">
      <c r="A22" s="15" t="s">
        <v>78</v>
      </c>
      <c r="B22" s="90">
        <f>B16*B10</f>
        <v>49583.793175107909</v>
      </c>
      <c r="E22" s="23">
        <v>45320</v>
      </c>
      <c r="F22">
        <v>26.75</v>
      </c>
      <c r="G22">
        <f t="shared" si="1"/>
        <v>-1.1208669210109189E-3</v>
      </c>
      <c r="H22" s="2">
        <f t="shared" si="0"/>
        <v>-1120.866921010919</v>
      </c>
      <c r="I22" s="17"/>
    </row>
    <row r="23" spans="1:9" x14ac:dyDescent="0.2">
      <c r="E23" s="23">
        <v>45321</v>
      </c>
      <c r="F23">
        <v>26.86</v>
      </c>
      <c r="G23">
        <f t="shared" si="1"/>
        <v>4.1037177530760102E-3</v>
      </c>
      <c r="H23" s="2">
        <f t="shared" si="0"/>
        <v>4103.71775307601</v>
      </c>
      <c r="I23" s="17"/>
    </row>
    <row r="24" spans="1:9" x14ac:dyDescent="0.2">
      <c r="E24" s="23">
        <v>45322</v>
      </c>
      <c r="F24">
        <v>26.78</v>
      </c>
      <c r="G24">
        <f t="shared" si="1"/>
        <v>-2.9828508320650245E-3</v>
      </c>
      <c r="H24" s="2">
        <f t="shared" si="0"/>
        <v>-2982.8508320650244</v>
      </c>
      <c r="I24" s="17"/>
    </row>
    <row r="25" spans="1:9" x14ac:dyDescent="0.2">
      <c r="E25" s="23">
        <v>45323</v>
      </c>
      <c r="F25">
        <v>27.09</v>
      </c>
      <c r="G25">
        <f t="shared" si="1"/>
        <v>1.1509315833977223E-2</v>
      </c>
      <c r="H25" s="2">
        <f t="shared" si="0"/>
        <v>11509.315833977224</v>
      </c>
      <c r="I25" s="17"/>
    </row>
    <row r="26" spans="1:9" x14ac:dyDescent="0.2">
      <c r="E26" s="23">
        <v>45324</v>
      </c>
      <c r="F26">
        <v>27.09</v>
      </c>
      <c r="G26">
        <f t="shared" si="1"/>
        <v>0</v>
      </c>
      <c r="H26" s="2">
        <f t="shared" si="0"/>
        <v>0</v>
      </c>
      <c r="I26" s="17"/>
    </row>
    <row r="27" spans="1:9" x14ac:dyDescent="0.2">
      <c r="E27" s="23">
        <v>45327</v>
      </c>
      <c r="F27">
        <v>27.12</v>
      </c>
      <c r="G27">
        <f t="shared" si="1"/>
        <v>1.1068069751910472E-3</v>
      </c>
      <c r="H27" s="2">
        <f t="shared" si="0"/>
        <v>1106.8069751910471</v>
      </c>
      <c r="I27" s="17"/>
    </row>
    <row r="28" spans="1:9" x14ac:dyDescent="0.2">
      <c r="E28" s="23">
        <v>45328</v>
      </c>
      <c r="F28">
        <v>27.1</v>
      </c>
      <c r="G28">
        <f t="shared" si="1"/>
        <v>-7.3773518653958673E-4</v>
      </c>
      <c r="H28" s="2">
        <f t="shared" si="0"/>
        <v>-737.73518653958672</v>
      </c>
      <c r="I28" s="17"/>
    </row>
    <row r="29" spans="1:9" x14ac:dyDescent="0.2">
      <c r="E29" s="23">
        <v>45329</v>
      </c>
      <c r="F29">
        <v>27.5</v>
      </c>
      <c r="G29">
        <f t="shared" si="1"/>
        <v>1.4652276786870415E-2</v>
      </c>
      <c r="H29" s="2">
        <f t="shared" si="0"/>
        <v>14652.276786870414</v>
      </c>
      <c r="I29" s="17"/>
    </row>
    <row r="30" spans="1:9" x14ac:dyDescent="0.2">
      <c r="E30" s="23">
        <v>45330</v>
      </c>
      <c r="F30">
        <v>27.62</v>
      </c>
      <c r="G30">
        <f t="shared" si="1"/>
        <v>4.3541433086204343E-3</v>
      </c>
      <c r="H30" s="2">
        <f t="shared" si="0"/>
        <v>4354.1433086204343</v>
      </c>
      <c r="I30" s="17"/>
    </row>
    <row r="31" spans="1:9" x14ac:dyDescent="0.2">
      <c r="E31" s="23">
        <v>45331</v>
      </c>
      <c r="F31">
        <v>27.58</v>
      </c>
      <c r="G31">
        <f t="shared" si="1"/>
        <v>-1.4492756159903981E-3</v>
      </c>
      <c r="H31" s="2">
        <f t="shared" si="0"/>
        <v>-1449.2756159903981</v>
      </c>
      <c r="I31" s="17"/>
    </row>
    <row r="32" spans="1:9" x14ac:dyDescent="0.2">
      <c r="E32" s="23">
        <v>45334</v>
      </c>
      <c r="F32">
        <v>27.65</v>
      </c>
      <c r="G32">
        <f t="shared" si="1"/>
        <v>2.5348556031881157E-3</v>
      </c>
      <c r="H32" s="2">
        <f t="shared" si="0"/>
        <v>2534.8556031881158</v>
      </c>
      <c r="I32" s="17"/>
    </row>
    <row r="33" spans="5:9" x14ac:dyDescent="0.2">
      <c r="E33" s="23">
        <v>45335</v>
      </c>
      <c r="F33">
        <v>28.16</v>
      </c>
      <c r="G33">
        <f t="shared" si="1"/>
        <v>1.8276803321497909E-2</v>
      </c>
      <c r="H33" s="2">
        <f t="shared" si="0"/>
        <v>18276.803321497908</v>
      </c>
      <c r="I33" s="17"/>
    </row>
    <row r="34" spans="5:9" x14ac:dyDescent="0.2">
      <c r="E34" s="23">
        <v>45336</v>
      </c>
      <c r="F34">
        <v>27.83</v>
      </c>
      <c r="G34">
        <f t="shared" si="1"/>
        <v>-1.1787955752042353E-2</v>
      </c>
      <c r="H34" s="2">
        <f t="shared" si="0"/>
        <v>-11787.955752042353</v>
      </c>
      <c r="I34" s="17"/>
    </row>
    <row r="35" spans="5:9" x14ac:dyDescent="0.2">
      <c r="E35" s="23">
        <v>45337</v>
      </c>
      <c r="F35">
        <v>27.7</v>
      </c>
      <c r="G35">
        <f t="shared" si="1"/>
        <v>-4.6821623445066083E-3</v>
      </c>
      <c r="H35" s="2">
        <f t="shared" si="0"/>
        <v>-4682.162344506608</v>
      </c>
      <c r="I35" s="17"/>
    </row>
    <row r="36" spans="5:9" x14ac:dyDescent="0.2">
      <c r="E36" s="23">
        <v>45338</v>
      </c>
      <c r="F36">
        <v>28.4</v>
      </c>
      <c r="G36">
        <f t="shared" si="1"/>
        <v>2.4956731973867458E-2</v>
      </c>
      <c r="H36" s="2">
        <f t="shared" si="0"/>
        <v>24956.73197386746</v>
      </c>
      <c r="I36" s="17"/>
    </row>
    <row r="37" spans="5:9" x14ac:dyDescent="0.2">
      <c r="E37" s="23">
        <v>45341</v>
      </c>
      <c r="F37">
        <v>28.31</v>
      </c>
      <c r="G37">
        <f t="shared" si="1"/>
        <v>-3.1740460433520631E-3</v>
      </c>
      <c r="H37" s="2">
        <f t="shared" si="0"/>
        <v>-3174.046043352063</v>
      </c>
      <c r="I37" s="17"/>
    </row>
    <row r="38" spans="5:9" x14ac:dyDescent="0.2">
      <c r="E38" s="23">
        <v>45342</v>
      </c>
      <c r="F38">
        <v>28.11</v>
      </c>
      <c r="G38">
        <f t="shared" si="1"/>
        <v>-7.0897142053677059E-3</v>
      </c>
      <c r="H38" s="2">
        <f t="shared" si="0"/>
        <v>-7089.7142053677062</v>
      </c>
      <c r="I38" s="17"/>
    </row>
    <row r="39" spans="5:9" x14ac:dyDescent="0.2">
      <c r="E39" s="23">
        <v>45343</v>
      </c>
      <c r="F39">
        <v>27.84</v>
      </c>
      <c r="G39">
        <f t="shared" si="1"/>
        <v>-9.6515494522215854E-3</v>
      </c>
      <c r="H39" s="2">
        <f t="shared" si="0"/>
        <v>-9651.5494522215849</v>
      </c>
      <c r="I39" s="17"/>
    </row>
    <row r="40" spans="5:9" x14ac:dyDescent="0.2">
      <c r="E40" s="23">
        <v>45344</v>
      </c>
      <c r="F40">
        <v>28.08</v>
      </c>
      <c r="G40">
        <f t="shared" si="1"/>
        <v>8.583743691391435E-3</v>
      </c>
      <c r="H40" s="2">
        <f t="shared" si="0"/>
        <v>8583.7436913914353</v>
      </c>
      <c r="I40" s="17"/>
    </row>
    <row r="41" spans="5:9" x14ac:dyDescent="0.2">
      <c r="E41" s="23">
        <v>45345</v>
      </c>
      <c r="F41">
        <v>28.15</v>
      </c>
      <c r="G41">
        <f t="shared" si="1"/>
        <v>2.4897754280889355E-3</v>
      </c>
      <c r="H41" s="2">
        <f t="shared" si="0"/>
        <v>2489.7754280889353</v>
      </c>
      <c r="I41" s="17"/>
    </row>
    <row r="42" spans="5:9" x14ac:dyDescent="0.2">
      <c r="E42" s="23">
        <v>45348</v>
      </c>
      <c r="F42">
        <v>28.3</v>
      </c>
      <c r="G42">
        <f t="shared" si="1"/>
        <v>5.3144500634926669E-3</v>
      </c>
      <c r="H42" s="2">
        <f t="shared" si="0"/>
        <v>5314.4500634926671</v>
      </c>
      <c r="I42" s="17"/>
    </row>
    <row r="43" spans="5:9" x14ac:dyDescent="0.2">
      <c r="E43" s="23">
        <v>45349</v>
      </c>
      <c r="F43">
        <v>28.4</v>
      </c>
      <c r="G43">
        <f t="shared" si="1"/>
        <v>3.5273405179684406E-3</v>
      </c>
      <c r="H43" s="2">
        <f t="shared" si="0"/>
        <v>3527.3405179684405</v>
      </c>
      <c r="I43" s="17"/>
    </row>
    <row r="44" spans="5:9" x14ac:dyDescent="0.2">
      <c r="E44" s="23">
        <v>45350</v>
      </c>
      <c r="F44">
        <v>28.45</v>
      </c>
      <c r="G44">
        <f t="shared" si="1"/>
        <v>1.7590154051796245E-3</v>
      </c>
      <c r="H44" s="2">
        <f t="shared" si="0"/>
        <v>1759.0154051796244</v>
      </c>
      <c r="I44" s="17"/>
    </row>
    <row r="45" spans="5:9" x14ac:dyDescent="0.2">
      <c r="E45" s="23">
        <v>45351</v>
      </c>
      <c r="F45">
        <v>28.43</v>
      </c>
      <c r="G45">
        <f t="shared" si="1"/>
        <v>-7.0323490943148548E-4</v>
      </c>
      <c r="H45" s="2">
        <f t="shared" si="0"/>
        <v>-703.23490943148545</v>
      </c>
      <c r="I45" s="17"/>
    </row>
    <row r="46" spans="5:9" x14ac:dyDescent="0.2">
      <c r="E46" s="23">
        <v>45352</v>
      </c>
      <c r="F46">
        <v>28.44</v>
      </c>
      <c r="G46">
        <f t="shared" si="1"/>
        <v>3.5167927213170853E-4</v>
      </c>
      <c r="H46" s="2">
        <f t="shared" si="0"/>
        <v>351.67927213170856</v>
      </c>
      <c r="I46" s="17"/>
    </row>
    <row r="47" spans="5:9" x14ac:dyDescent="0.2">
      <c r="E47" s="23">
        <v>45355</v>
      </c>
      <c r="F47">
        <v>28.8</v>
      </c>
      <c r="G47">
        <f t="shared" si="1"/>
        <v>1.2578782206860185E-2</v>
      </c>
      <c r="H47" s="2">
        <f t="shared" si="0"/>
        <v>12578.782206860185</v>
      </c>
      <c r="I47" s="17"/>
    </row>
    <row r="48" spans="5:9" x14ac:dyDescent="0.2">
      <c r="E48" s="23">
        <v>45356</v>
      </c>
      <c r="F48">
        <v>28.81</v>
      </c>
      <c r="G48">
        <f t="shared" si="1"/>
        <v>3.4716195453670154E-4</v>
      </c>
      <c r="H48" s="2">
        <f t="shared" si="0"/>
        <v>347.16195453670156</v>
      </c>
      <c r="I48" s="17"/>
    </row>
    <row r="49" spans="5:9" x14ac:dyDescent="0.2">
      <c r="E49" s="23">
        <v>45357</v>
      </c>
      <c r="F49">
        <v>28.8</v>
      </c>
      <c r="G49">
        <f t="shared" si="1"/>
        <v>-3.4716195453674887E-4</v>
      </c>
      <c r="H49" s="2">
        <f t="shared" si="0"/>
        <v>-347.16195453674885</v>
      </c>
      <c r="I49" s="17"/>
    </row>
    <row r="50" spans="5:9" x14ac:dyDescent="0.2">
      <c r="E50" s="23">
        <v>45358</v>
      </c>
      <c r="F50">
        <v>28.9</v>
      </c>
      <c r="G50">
        <f t="shared" si="1"/>
        <v>3.4662079764861075E-3</v>
      </c>
      <c r="H50" s="2">
        <f t="shared" si="0"/>
        <v>3466.2079764861073</v>
      </c>
      <c r="I50" s="17"/>
    </row>
    <row r="51" spans="5:9" x14ac:dyDescent="0.2">
      <c r="E51" s="23">
        <v>45359</v>
      </c>
      <c r="F51">
        <v>29.35</v>
      </c>
      <c r="G51">
        <f t="shared" si="1"/>
        <v>1.5450951155719104E-2</v>
      </c>
      <c r="H51" s="2">
        <f t="shared" si="0"/>
        <v>15450.951155719104</v>
      </c>
      <c r="I51" s="17"/>
    </row>
    <row r="52" spans="5:9" x14ac:dyDescent="0.2">
      <c r="E52" s="23">
        <v>45362</v>
      </c>
      <c r="F52">
        <v>29.65</v>
      </c>
      <c r="G52">
        <f t="shared" si="1"/>
        <v>1.0169579169629012E-2</v>
      </c>
      <c r="H52" s="2">
        <f t="shared" si="0"/>
        <v>10169.579169629013</v>
      </c>
      <c r="I52" s="17"/>
    </row>
    <row r="53" spans="5:9" x14ac:dyDescent="0.2">
      <c r="E53" s="23">
        <v>45363</v>
      </c>
      <c r="F53">
        <v>29.41</v>
      </c>
      <c r="G53">
        <f t="shared" si="1"/>
        <v>-8.1273728778307238E-3</v>
      </c>
      <c r="H53" s="2">
        <f t="shared" si="0"/>
        <v>-8127.3728778307241</v>
      </c>
      <c r="I53" s="17"/>
    </row>
    <row r="54" spans="5:9" x14ac:dyDescent="0.2">
      <c r="E54" s="23">
        <v>45364</v>
      </c>
      <c r="F54">
        <v>29.5</v>
      </c>
      <c r="G54">
        <f t="shared" si="1"/>
        <v>3.0555107798704967E-3</v>
      </c>
      <c r="H54" s="2">
        <f t="shared" si="0"/>
        <v>3055.5107798704967</v>
      </c>
      <c r="I54" s="17"/>
    </row>
    <row r="55" spans="5:9" x14ac:dyDescent="0.2">
      <c r="E55" s="23">
        <v>45365</v>
      </c>
      <c r="F55">
        <v>29.7</v>
      </c>
      <c r="G55">
        <f t="shared" si="1"/>
        <v>6.7567824628796871E-3</v>
      </c>
      <c r="H55" s="2">
        <f t="shared" si="0"/>
        <v>6756.782462879687</v>
      </c>
      <c r="I55" s="17"/>
    </row>
    <row r="56" spans="5:9" x14ac:dyDescent="0.2">
      <c r="E56" s="23">
        <v>45366</v>
      </c>
      <c r="F56">
        <v>28.39</v>
      </c>
      <c r="G56">
        <f t="shared" si="1"/>
        <v>-4.5110075323774104E-2</v>
      </c>
      <c r="H56" s="2">
        <f t="shared" si="0"/>
        <v>-45110.075323774101</v>
      </c>
      <c r="I56" s="17"/>
    </row>
    <row r="57" spans="5:9" x14ac:dyDescent="0.2">
      <c r="E57" s="23">
        <v>45369</v>
      </c>
      <c r="F57">
        <v>28.69</v>
      </c>
      <c r="G57">
        <f t="shared" si="1"/>
        <v>1.0511659508393528E-2</v>
      </c>
      <c r="H57" s="2">
        <f t="shared" si="0"/>
        <v>10511.659508393528</v>
      </c>
      <c r="I57" s="17"/>
    </row>
    <row r="58" spans="5:9" x14ac:dyDescent="0.2">
      <c r="E58" s="23">
        <v>45370</v>
      </c>
      <c r="F58">
        <v>28.89</v>
      </c>
      <c r="G58">
        <f t="shared" si="1"/>
        <v>6.9468844848703777E-3</v>
      </c>
      <c r="H58" s="2">
        <f t="shared" si="0"/>
        <v>6946.8844848703775</v>
      </c>
      <c r="I58" s="17"/>
    </row>
    <row r="59" spans="5:9" x14ac:dyDescent="0.2">
      <c r="E59" s="23">
        <v>45371</v>
      </c>
      <c r="F59">
        <v>28.78</v>
      </c>
      <c r="G59">
        <f t="shared" si="1"/>
        <v>-3.8148130189221341E-3</v>
      </c>
      <c r="H59" s="2">
        <f t="shared" si="0"/>
        <v>-3814.8130189221342</v>
      </c>
      <c r="I59" s="17"/>
    </row>
    <row r="60" spans="5:9" x14ac:dyDescent="0.2">
      <c r="E60" s="23">
        <v>45372</v>
      </c>
      <c r="F60">
        <v>28.9</v>
      </c>
      <c r="G60">
        <f t="shared" si="1"/>
        <v>4.1608936591647182E-3</v>
      </c>
      <c r="H60" s="2">
        <f t="shared" si="0"/>
        <v>4160.893659164718</v>
      </c>
      <c r="I60" s="17"/>
    </row>
    <row r="61" spans="5:9" x14ac:dyDescent="0.2">
      <c r="E61" s="23">
        <v>45373</v>
      </c>
      <c r="F61">
        <v>29.11</v>
      </c>
      <c r="G61">
        <f t="shared" si="1"/>
        <v>7.2401626391453812E-3</v>
      </c>
      <c r="H61" s="2">
        <f t="shared" si="0"/>
        <v>7240.162639145381</v>
      </c>
      <c r="I61" s="17"/>
    </row>
    <row r="62" spans="5:9" x14ac:dyDescent="0.2">
      <c r="E62" s="23">
        <v>45376</v>
      </c>
      <c r="F62">
        <v>29.15</v>
      </c>
      <c r="G62">
        <f t="shared" si="1"/>
        <v>1.3731550389696069E-3</v>
      </c>
      <c r="H62" s="2">
        <f t="shared" si="0"/>
        <v>1373.1550389696069</v>
      </c>
      <c r="I62" s="17"/>
    </row>
    <row r="63" spans="5:9" x14ac:dyDescent="0.2">
      <c r="E63" s="23">
        <v>45377</v>
      </c>
      <c r="F63">
        <v>29.05</v>
      </c>
      <c r="G63">
        <f t="shared" si="1"/>
        <v>-3.4364294985810982E-3</v>
      </c>
      <c r="H63" s="2">
        <f t="shared" si="0"/>
        <v>-3436.4294985810984</v>
      </c>
      <c r="I63" s="17"/>
    </row>
    <row r="64" spans="5:9" x14ac:dyDescent="0.2">
      <c r="E64" s="23">
        <v>45378</v>
      </c>
      <c r="F64">
        <v>29</v>
      </c>
      <c r="G64">
        <f t="shared" si="1"/>
        <v>-1.7226533114461818E-3</v>
      </c>
      <c r="H64" s="2">
        <f t="shared" si="0"/>
        <v>-1722.6533114461818</v>
      </c>
      <c r="I64" s="17"/>
    </row>
    <row r="65" spans="5:9" x14ac:dyDescent="0.2">
      <c r="E65" s="23">
        <v>45379</v>
      </c>
      <c r="F65">
        <v>29.35</v>
      </c>
      <c r="G65">
        <f t="shared" si="1"/>
        <v>1.1996716287631506E-2</v>
      </c>
      <c r="H65" s="2">
        <f t="shared" si="0"/>
        <v>11996.716287631507</v>
      </c>
      <c r="I65" s="17"/>
    </row>
    <row r="66" spans="5:9" x14ac:dyDescent="0.2">
      <c r="E66" s="23">
        <v>45384</v>
      </c>
      <c r="F66">
        <v>29.2</v>
      </c>
      <c r="G66">
        <f t="shared" si="1"/>
        <v>-5.1238369998695063E-3</v>
      </c>
      <c r="H66" s="2">
        <f t="shared" si="0"/>
        <v>-5123.8369998695061</v>
      </c>
      <c r="I66" s="17"/>
    </row>
    <row r="67" spans="5:9" x14ac:dyDescent="0.2">
      <c r="E67" s="23">
        <v>45385</v>
      </c>
      <c r="F67">
        <v>29.39</v>
      </c>
      <c r="G67">
        <f t="shared" si="1"/>
        <v>6.485771156590046E-3</v>
      </c>
      <c r="H67" s="2">
        <f t="shared" si="0"/>
        <v>6485.7711565900463</v>
      </c>
      <c r="I67" s="17"/>
    </row>
    <row r="68" spans="5:9" x14ac:dyDescent="0.2">
      <c r="E68" s="23">
        <v>45386</v>
      </c>
      <c r="F68">
        <v>29.16</v>
      </c>
      <c r="G68">
        <f t="shared" si="1"/>
        <v>-7.8565732903686548E-3</v>
      </c>
      <c r="H68" s="2">
        <f t="shared" si="0"/>
        <v>-7856.5732903686549</v>
      </c>
      <c r="I68" s="17"/>
    </row>
    <row r="69" spans="5:9" x14ac:dyDescent="0.2">
      <c r="E69" s="23">
        <v>45387</v>
      </c>
      <c r="F69">
        <v>29</v>
      </c>
      <c r="G69">
        <f t="shared" si="1"/>
        <v>-5.5020771539834217E-3</v>
      </c>
      <c r="H69" s="2">
        <f t="shared" ref="H69:H132" si="2">G69*$B$4</f>
        <v>-5502.0771539834213</v>
      </c>
      <c r="I69" s="17"/>
    </row>
    <row r="70" spans="5:9" x14ac:dyDescent="0.2">
      <c r="E70" s="23">
        <v>45389</v>
      </c>
      <c r="F70">
        <v>29.3</v>
      </c>
      <c r="G70">
        <f t="shared" ref="G70:G133" si="3">LN(F70/F69)</f>
        <v>1.0291686036547724E-2</v>
      </c>
      <c r="H70" s="2">
        <f t="shared" si="2"/>
        <v>10291.686036547724</v>
      </c>
      <c r="I70" s="17"/>
    </row>
    <row r="71" spans="5:9" x14ac:dyDescent="0.2">
      <c r="E71" s="23">
        <v>45390</v>
      </c>
      <c r="F71">
        <v>29.3</v>
      </c>
      <c r="G71">
        <f t="shared" si="3"/>
        <v>0</v>
      </c>
      <c r="H71" s="2">
        <f t="shared" si="2"/>
        <v>0</v>
      </c>
      <c r="I71" s="17"/>
    </row>
    <row r="72" spans="5:9" x14ac:dyDescent="0.2">
      <c r="E72" s="23">
        <v>45391</v>
      </c>
      <c r="F72">
        <v>29.36</v>
      </c>
      <c r="G72">
        <f t="shared" si="3"/>
        <v>2.0456877232931073E-3</v>
      </c>
      <c r="H72" s="2">
        <f t="shared" si="2"/>
        <v>2045.6877232931072</v>
      </c>
      <c r="I72" s="17"/>
    </row>
    <row r="73" spans="5:9" x14ac:dyDescent="0.2">
      <c r="E73" s="23">
        <v>45392</v>
      </c>
      <c r="F73">
        <v>29.43</v>
      </c>
      <c r="G73">
        <f t="shared" si="3"/>
        <v>2.3813584990666514E-3</v>
      </c>
      <c r="H73" s="2">
        <f t="shared" si="2"/>
        <v>2381.3584990666513</v>
      </c>
      <c r="I73" s="17"/>
    </row>
    <row r="74" spans="5:9" x14ac:dyDescent="0.2">
      <c r="E74" s="23">
        <v>45393</v>
      </c>
      <c r="F74">
        <v>28.88</v>
      </c>
      <c r="G74">
        <f t="shared" si="3"/>
        <v>-1.8865248220755981E-2</v>
      </c>
      <c r="H74" s="2">
        <f t="shared" si="2"/>
        <v>-18865.248220755981</v>
      </c>
      <c r="I74" s="17"/>
    </row>
    <row r="75" spans="5:9" x14ac:dyDescent="0.2">
      <c r="E75" s="23">
        <v>45394</v>
      </c>
      <c r="F75">
        <v>28.94</v>
      </c>
      <c r="G75">
        <f t="shared" si="3"/>
        <v>2.0754071787123579E-3</v>
      </c>
      <c r="H75" s="2">
        <f t="shared" si="2"/>
        <v>2075.407178712358</v>
      </c>
      <c r="I75" s="17"/>
    </row>
    <row r="76" spans="5:9" x14ac:dyDescent="0.2">
      <c r="E76" s="23">
        <v>45397</v>
      </c>
      <c r="F76">
        <v>28.7</v>
      </c>
      <c r="G76">
        <f t="shared" si="3"/>
        <v>-8.3275984377624273E-3</v>
      </c>
      <c r="H76" s="2">
        <f t="shared" si="2"/>
        <v>-8327.5984377624281</v>
      </c>
      <c r="I76" s="17"/>
    </row>
    <row r="77" spans="5:9" x14ac:dyDescent="0.2">
      <c r="E77" s="23">
        <v>45398</v>
      </c>
      <c r="F77">
        <v>28.79</v>
      </c>
      <c r="G77">
        <f t="shared" si="3"/>
        <v>3.1309818585089867E-3</v>
      </c>
      <c r="H77" s="2">
        <f t="shared" si="2"/>
        <v>3130.9818585089865</v>
      </c>
      <c r="I77" s="17"/>
    </row>
    <row r="78" spans="5:9" x14ac:dyDescent="0.2">
      <c r="E78" s="23">
        <v>45399</v>
      </c>
      <c r="F78">
        <v>28.42</v>
      </c>
      <c r="G78">
        <f t="shared" si="3"/>
        <v>-1.2934981955129866E-2</v>
      </c>
      <c r="H78" s="2">
        <f t="shared" si="2"/>
        <v>-12934.981955129866</v>
      </c>
      <c r="I78" s="17"/>
    </row>
    <row r="79" spans="5:9" x14ac:dyDescent="0.2">
      <c r="E79" s="23">
        <v>45400</v>
      </c>
      <c r="F79">
        <v>28.3</v>
      </c>
      <c r="G79">
        <f t="shared" si="3"/>
        <v>-4.2313180197626971E-3</v>
      </c>
      <c r="H79" s="2">
        <f t="shared" si="2"/>
        <v>-4231.3180197626971</v>
      </c>
      <c r="I79" s="17"/>
    </row>
    <row r="80" spans="5:9" x14ac:dyDescent="0.2">
      <c r="E80" s="23">
        <v>45401</v>
      </c>
      <c r="F80">
        <v>28.38</v>
      </c>
      <c r="G80">
        <f t="shared" si="3"/>
        <v>2.8228670827045027E-3</v>
      </c>
      <c r="H80" s="2">
        <f t="shared" si="2"/>
        <v>2822.8670827045025</v>
      </c>
      <c r="I80" s="17"/>
    </row>
    <row r="81" spans="5:9" x14ac:dyDescent="0.2">
      <c r="E81" s="23">
        <v>45404</v>
      </c>
      <c r="F81">
        <v>28.2</v>
      </c>
      <c r="G81">
        <f t="shared" si="3"/>
        <v>-6.3626937878286573E-3</v>
      </c>
      <c r="H81" s="2">
        <f t="shared" si="2"/>
        <v>-6362.6937878286572</v>
      </c>
      <c r="I81" s="17"/>
    </row>
    <row r="82" spans="5:9" x14ac:dyDescent="0.2">
      <c r="E82" s="23">
        <v>45405</v>
      </c>
      <c r="F82">
        <v>28.55</v>
      </c>
      <c r="G82">
        <f t="shared" si="3"/>
        <v>1.2334958157951366E-2</v>
      </c>
      <c r="H82" s="2">
        <f t="shared" si="2"/>
        <v>12334.958157951365</v>
      </c>
      <c r="I82" s="17"/>
    </row>
    <row r="83" spans="5:9" x14ac:dyDescent="0.2">
      <c r="E83" s="23">
        <v>45406</v>
      </c>
      <c r="F83">
        <v>28.69</v>
      </c>
      <c r="G83">
        <f t="shared" si="3"/>
        <v>4.8916938912541398E-3</v>
      </c>
      <c r="H83" s="2">
        <f t="shared" si="2"/>
        <v>4891.69389125414</v>
      </c>
      <c r="I83" s="17"/>
    </row>
    <row r="84" spans="5:9" x14ac:dyDescent="0.2">
      <c r="E84" s="23">
        <v>45408</v>
      </c>
      <c r="F84">
        <v>28.1</v>
      </c>
      <c r="G84">
        <f t="shared" si="3"/>
        <v>-2.0779053653573323E-2</v>
      </c>
      <c r="H84" s="2">
        <f t="shared" si="2"/>
        <v>-20779.053653573323</v>
      </c>
      <c r="I84" s="17"/>
    </row>
    <row r="85" spans="5:9" x14ac:dyDescent="0.2">
      <c r="E85" s="23">
        <v>45411</v>
      </c>
      <c r="F85">
        <v>28.18</v>
      </c>
      <c r="G85">
        <f t="shared" si="3"/>
        <v>2.8429301308340238E-3</v>
      </c>
      <c r="H85" s="2">
        <f t="shared" si="2"/>
        <v>2842.9301308340237</v>
      </c>
      <c r="I85" s="17"/>
    </row>
    <row r="86" spans="5:9" x14ac:dyDescent="0.2">
      <c r="E86" s="23">
        <v>45412</v>
      </c>
      <c r="F86">
        <v>27.97</v>
      </c>
      <c r="G86">
        <f t="shared" si="3"/>
        <v>-7.4799992566657965E-3</v>
      </c>
      <c r="H86" s="2">
        <f t="shared" si="2"/>
        <v>-7479.9992566657966</v>
      </c>
      <c r="I86" s="17"/>
    </row>
    <row r="87" spans="5:9" x14ac:dyDescent="0.2">
      <c r="E87" s="23">
        <v>45413</v>
      </c>
      <c r="F87">
        <v>27.87</v>
      </c>
      <c r="G87">
        <f t="shared" si="3"/>
        <v>-3.5816657200114857E-3</v>
      </c>
      <c r="H87" s="2">
        <f t="shared" si="2"/>
        <v>-3581.6657200114855</v>
      </c>
      <c r="I87" s="17"/>
    </row>
    <row r="88" spans="5:9" x14ac:dyDescent="0.2">
      <c r="E88" s="23">
        <v>45414</v>
      </c>
      <c r="F88">
        <v>28.2</v>
      </c>
      <c r="G88">
        <f t="shared" si="3"/>
        <v>1.1771136450210908E-2</v>
      </c>
      <c r="H88" s="2">
        <f t="shared" si="2"/>
        <v>11771.136450210908</v>
      </c>
      <c r="I88" s="17"/>
    </row>
    <row r="89" spans="5:9" x14ac:dyDescent="0.2">
      <c r="E89" s="23">
        <v>45415</v>
      </c>
      <c r="F89">
        <v>28.43</v>
      </c>
      <c r="G89">
        <f t="shared" si="3"/>
        <v>8.1229477188404405E-3</v>
      </c>
      <c r="H89" s="2">
        <f t="shared" si="2"/>
        <v>8122.9477188404408</v>
      </c>
      <c r="I89" s="17"/>
    </row>
    <row r="90" spans="5:9" x14ac:dyDescent="0.2">
      <c r="E90" s="23">
        <v>45418</v>
      </c>
      <c r="F90">
        <v>28.8</v>
      </c>
      <c r="G90">
        <f t="shared" si="3"/>
        <v>1.2930461478991887E-2</v>
      </c>
      <c r="H90" s="2">
        <f t="shared" si="2"/>
        <v>12930.461478991887</v>
      </c>
      <c r="I90" s="17"/>
    </row>
    <row r="91" spans="5:9" x14ac:dyDescent="0.2">
      <c r="E91" s="23">
        <v>45419</v>
      </c>
      <c r="F91">
        <v>28.3</v>
      </c>
      <c r="G91">
        <f t="shared" si="3"/>
        <v>-1.7513582492708357E-2</v>
      </c>
      <c r="H91" s="2">
        <f t="shared" si="2"/>
        <v>-17513.582492708356</v>
      </c>
      <c r="I91" s="17"/>
    </row>
    <row r="92" spans="5:9" x14ac:dyDescent="0.2">
      <c r="E92" s="23">
        <v>45420</v>
      </c>
      <c r="F92">
        <v>28.93</v>
      </c>
      <c r="G92">
        <f t="shared" si="3"/>
        <v>2.2017314338851766E-2</v>
      </c>
      <c r="H92" s="2">
        <f t="shared" si="2"/>
        <v>22017.314338851767</v>
      </c>
      <c r="I92" s="17"/>
    </row>
    <row r="93" spans="5:9" x14ac:dyDescent="0.2">
      <c r="E93" s="23">
        <v>45421</v>
      </c>
      <c r="F93">
        <v>29.05</v>
      </c>
      <c r="G93">
        <f t="shared" si="3"/>
        <v>4.1393643098766239E-3</v>
      </c>
      <c r="H93" s="2">
        <f t="shared" si="2"/>
        <v>4139.3643098766242</v>
      </c>
      <c r="I93" s="17"/>
    </row>
    <row r="94" spans="5:9" x14ac:dyDescent="0.2">
      <c r="E94" s="23">
        <v>45422</v>
      </c>
      <c r="F94">
        <v>28.94</v>
      </c>
      <c r="G94">
        <f t="shared" si="3"/>
        <v>-3.7937620945823745E-3</v>
      </c>
      <c r="H94" s="2">
        <f t="shared" si="2"/>
        <v>-3793.7620945823746</v>
      </c>
      <c r="I94" s="17"/>
    </row>
    <row r="95" spans="5:9" x14ac:dyDescent="0.2">
      <c r="E95" s="23">
        <v>45425</v>
      </c>
      <c r="F95">
        <v>28.03</v>
      </c>
      <c r="G95">
        <f t="shared" si="3"/>
        <v>-3.1949356026640861E-2</v>
      </c>
      <c r="H95" s="2">
        <f t="shared" si="2"/>
        <v>-31949.35602664086</v>
      </c>
      <c r="I95" s="17"/>
    </row>
    <row r="96" spans="5:9" x14ac:dyDescent="0.2">
      <c r="E96" s="23">
        <v>45426</v>
      </c>
      <c r="F96">
        <v>28.11</v>
      </c>
      <c r="G96">
        <f t="shared" si="3"/>
        <v>2.8500197417435018E-3</v>
      </c>
      <c r="H96" s="2">
        <f t="shared" si="2"/>
        <v>2850.019741743502</v>
      </c>
      <c r="I96" s="17"/>
    </row>
    <row r="97" spans="5:9" x14ac:dyDescent="0.2">
      <c r="E97" s="23">
        <v>45427</v>
      </c>
      <c r="F97">
        <v>28</v>
      </c>
      <c r="G97">
        <f t="shared" si="3"/>
        <v>-3.9208747432365508E-3</v>
      </c>
      <c r="H97" s="2">
        <f t="shared" si="2"/>
        <v>-3920.8747432365508</v>
      </c>
      <c r="I97" s="17"/>
    </row>
    <row r="98" spans="5:9" x14ac:dyDescent="0.2">
      <c r="E98" s="23">
        <v>45428</v>
      </c>
      <c r="F98">
        <v>28.02</v>
      </c>
      <c r="G98">
        <f t="shared" si="3"/>
        <v>7.1403073365697344E-4</v>
      </c>
      <c r="H98" s="2">
        <f t="shared" si="2"/>
        <v>714.03073365697344</v>
      </c>
      <c r="I98" s="17"/>
    </row>
    <row r="99" spans="5:9" x14ac:dyDescent="0.2">
      <c r="E99" s="23">
        <v>45429</v>
      </c>
      <c r="F99">
        <v>28.08</v>
      </c>
      <c r="G99">
        <f t="shared" si="3"/>
        <v>2.1390382487494423E-3</v>
      </c>
      <c r="H99" s="2">
        <f t="shared" si="2"/>
        <v>2139.0382487494421</v>
      </c>
      <c r="I99" s="17"/>
    </row>
    <row r="100" spans="5:9" x14ac:dyDescent="0.2">
      <c r="E100" s="23">
        <v>45431</v>
      </c>
      <c r="F100">
        <v>28.22</v>
      </c>
      <c r="G100">
        <f t="shared" si="3"/>
        <v>4.9733672670576306E-3</v>
      </c>
      <c r="H100" s="2">
        <f t="shared" si="2"/>
        <v>4973.3672670576307</v>
      </c>
      <c r="I100" s="17"/>
    </row>
    <row r="101" spans="5:9" x14ac:dyDescent="0.2">
      <c r="E101" s="23">
        <v>45432</v>
      </c>
      <c r="F101">
        <v>28.22</v>
      </c>
      <c r="G101">
        <f t="shared" si="3"/>
        <v>0</v>
      </c>
      <c r="H101" s="2">
        <f t="shared" si="2"/>
        <v>0</v>
      </c>
      <c r="I101" s="17"/>
    </row>
    <row r="102" spans="5:9" x14ac:dyDescent="0.2">
      <c r="E102" s="23">
        <v>45433</v>
      </c>
      <c r="F102">
        <v>28.15</v>
      </c>
      <c r="G102">
        <f t="shared" si="3"/>
        <v>-2.4835918389685676E-3</v>
      </c>
      <c r="H102" s="2">
        <f t="shared" si="2"/>
        <v>-2483.5918389685676</v>
      </c>
      <c r="I102" s="17"/>
    </row>
    <row r="103" spans="5:9" x14ac:dyDescent="0.2">
      <c r="E103" s="23">
        <v>45434</v>
      </c>
      <c r="F103">
        <v>28.43</v>
      </c>
      <c r="G103">
        <f t="shared" si="3"/>
        <v>9.8975710772090057E-3</v>
      </c>
      <c r="H103" s="2">
        <f t="shared" si="2"/>
        <v>9897.571077209006</v>
      </c>
      <c r="I103" s="17"/>
    </row>
    <row r="104" spans="5:9" x14ac:dyDescent="0.2">
      <c r="E104" s="23">
        <v>45435</v>
      </c>
      <c r="F104">
        <v>28.41</v>
      </c>
      <c r="G104">
        <f t="shared" si="3"/>
        <v>-7.0372979681183857E-4</v>
      </c>
      <c r="H104" s="2">
        <f t="shared" si="2"/>
        <v>-703.72979681183858</v>
      </c>
      <c r="I104" s="17"/>
    </row>
    <row r="105" spans="5:9" x14ac:dyDescent="0.2">
      <c r="E105" s="23">
        <v>45436</v>
      </c>
      <c r="F105">
        <v>28.1</v>
      </c>
      <c r="G105">
        <f t="shared" si="3"/>
        <v>-1.0971619526396447E-2</v>
      </c>
      <c r="H105" s="2">
        <f t="shared" si="2"/>
        <v>-10971.619526396447</v>
      </c>
      <c r="I105" s="17"/>
    </row>
    <row r="106" spans="5:9" x14ac:dyDescent="0.2">
      <c r="E106" s="23">
        <v>45438</v>
      </c>
      <c r="F106">
        <v>28.38</v>
      </c>
      <c r="G106">
        <f t="shared" si="3"/>
        <v>9.9150953921964442E-3</v>
      </c>
      <c r="H106" s="2">
        <f t="shared" si="2"/>
        <v>9915.0953921964447</v>
      </c>
      <c r="I106" s="17"/>
    </row>
    <row r="107" spans="5:9" x14ac:dyDescent="0.2">
      <c r="E107" s="23">
        <v>45439</v>
      </c>
      <c r="F107">
        <v>28.38</v>
      </c>
      <c r="G107">
        <f t="shared" si="3"/>
        <v>0</v>
      </c>
      <c r="H107" s="2">
        <f t="shared" si="2"/>
        <v>0</v>
      </c>
      <c r="I107" s="17"/>
    </row>
    <row r="108" spans="5:9" x14ac:dyDescent="0.2">
      <c r="E108" s="23">
        <v>45440</v>
      </c>
      <c r="F108">
        <v>28.45</v>
      </c>
      <c r="G108">
        <f t="shared" si="3"/>
        <v>2.4634888404433922E-3</v>
      </c>
      <c r="H108" s="2">
        <f t="shared" si="2"/>
        <v>2463.4888404433923</v>
      </c>
      <c r="I108" s="17"/>
    </row>
    <row r="109" spans="5:9" x14ac:dyDescent="0.2">
      <c r="E109" s="23">
        <v>45441</v>
      </c>
      <c r="F109">
        <v>28.3</v>
      </c>
      <c r="G109">
        <f t="shared" si="3"/>
        <v>-5.2863559231479491E-3</v>
      </c>
      <c r="H109" s="2">
        <f t="shared" si="2"/>
        <v>-5286.3559231479494</v>
      </c>
      <c r="I109" s="17"/>
    </row>
    <row r="110" spans="5:9" x14ac:dyDescent="0.2">
      <c r="E110" s="23">
        <v>45442</v>
      </c>
      <c r="F110">
        <v>27.67</v>
      </c>
      <c r="G110">
        <f t="shared" si="3"/>
        <v>-2.2513010850357382E-2</v>
      </c>
      <c r="H110" s="2">
        <f t="shared" si="2"/>
        <v>-22513.010850357383</v>
      </c>
      <c r="I110" s="17"/>
    </row>
    <row r="111" spans="5:9" x14ac:dyDescent="0.2">
      <c r="E111" s="23">
        <v>45443</v>
      </c>
      <c r="F111">
        <v>28.16</v>
      </c>
      <c r="G111">
        <f t="shared" si="3"/>
        <v>1.7553737491007134E-2</v>
      </c>
      <c r="H111" s="2">
        <f t="shared" si="2"/>
        <v>17553.737491007134</v>
      </c>
      <c r="I111" s="17"/>
    </row>
    <row r="112" spans="5:9" x14ac:dyDescent="0.2">
      <c r="E112" s="23">
        <v>45446</v>
      </c>
      <c r="F112">
        <v>28.43</v>
      </c>
      <c r="G112">
        <f t="shared" si="3"/>
        <v>9.5423943730667034E-3</v>
      </c>
      <c r="H112" s="2">
        <f t="shared" si="2"/>
        <v>9542.3943730667033</v>
      </c>
      <c r="I112" s="17"/>
    </row>
    <row r="113" spans="5:9" x14ac:dyDescent="0.2">
      <c r="E113" s="23">
        <v>45447</v>
      </c>
      <c r="F113">
        <v>28.58</v>
      </c>
      <c r="G113">
        <f t="shared" si="3"/>
        <v>5.2622468388128663E-3</v>
      </c>
      <c r="H113" s="2">
        <f t="shared" si="2"/>
        <v>5262.2468388128664</v>
      </c>
      <c r="I113" s="17"/>
    </row>
    <row r="114" spans="5:9" x14ac:dyDescent="0.2">
      <c r="E114" s="23">
        <v>45448</v>
      </c>
      <c r="F114">
        <v>28.59</v>
      </c>
      <c r="G114">
        <f t="shared" si="3"/>
        <v>3.4983383249916734E-4</v>
      </c>
      <c r="H114" s="2">
        <f t="shared" si="2"/>
        <v>349.83383249916733</v>
      </c>
      <c r="I114" s="17"/>
    </row>
    <row r="115" spans="5:9" x14ac:dyDescent="0.2">
      <c r="E115" s="23">
        <v>45449</v>
      </c>
      <c r="F115">
        <v>28.96</v>
      </c>
      <c r="G115">
        <f t="shared" si="3"/>
        <v>1.2858561183295231E-2</v>
      </c>
      <c r="H115" s="2">
        <f t="shared" si="2"/>
        <v>12858.561183295231</v>
      </c>
      <c r="I115" s="17"/>
    </row>
    <row r="116" spans="5:9" x14ac:dyDescent="0.2">
      <c r="E116" s="23">
        <v>45450</v>
      </c>
      <c r="F116">
        <v>28.89</v>
      </c>
      <c r="G116">
        <f t="shared" si="3"/>
        <v>-2.42005303937171E-3</v>
      </c>
      <c r="H116" s="2">
        <f t="shared" si="2"/>
        <v>-2420.0530393717099</v>
      </c>
      <c r="I116" s="17"/>
    </row>
    <row r="117" spans="5:9" x14ac:dyDescent="0.2">
      <c r="E117" s="23">
        <v>45453</v>
      </c>
      <c r="F117">
        <v>28.93</v>
      </c>
      <c r="G117">
        <f t="shared" si="3"/>
        <v>1.3836045098998724E-3</v>
      </c>
      <c r="H117" s="2">
        <f t="shared" si="2"/>
        <v>1383.6045098998725</v>
      </c>
      <c r="I117" s="17"/>
    </row>
    <row r="118" spans="5:9" x14ac:dyDescent="0.2">
      <c r="E118" s="23">
        <v>45454</v>
      </c>
      <c r="F118">
        <v>28.93</v>
      </c>
      <c r="G118">
        <f t="shared" si="3"/>
        <v>0</v>
      </c>
      <c r="H118" s="2">
        <f t="shared" si="2"/>
        <v>0</v>
      </c>
      <c r="I118" s="17"/>
    </row>
    <row r="119" spans="5:9" x14ac:dyDescent="0.2">
      <c r="E119" s="23">
        <v>45455</v>
      </c>
      <c r="F119">
        <v>28.81</v>
      </c>
      <c r="G119">
        <f t="shared" si="3"/>
        <v>-4.1565698916066172E-3</v>
      </c>
      <c r="H119" s="2">
        <f t="shared" si="2"/>
        <v>-4156.5698916066176</v>
      </c>
      <c r="I119" s="17"/>
    </row>
    <row r="120" spans="5:9" x14ac:dyDescent="0.2">
      <c r="E120" s="23">
        <v>45456</v>
      </c>
      <c r="F120">
        <v>28.91</v>
      </c>
      <c r="G120">
        <f t="shared" si="3"/>
        <v>3.465006931817706E-3</v>
      </c>
      <c r="H120" s="2">
        <f t="shared" si="2"/>
        <v>3465.0069318177061</v>
      </c>
      <c r="I120" s="17"/>
    </row>
    <row r="121" spans="5:9" x14ac:dyDescent="0.2">
      <c r="E121" s="23">
        <v>45457</v>
      </c>
      <c r="F121">
        <v>28.64</v>
      </c>
      <c r="G121">
        <f t="shared" si="3"/>
        <v>-9.3832139358097661E-3</v>
      </c>
      <c r="H121" s="2">
        <f t="shared" si="2"/>
        <v>-9383.2139358097666</v>
      </c>
      <c r="I121" s="17"/>
    </row>
    <row r="122" spans="5:9" x14ac:dyDescent="0.2">
      <c r="E122" s="23">
        <v>45460</v>
      </c>
      <c r="F122">
        <v>28.64</v>
      </c>
      <c r="G122">
        <f t="shared" si="3"/>
        <v>0</v>
      </c>
      <c r="H122" s="2">
        <f t="shared" si="2"/>
        <v>0</v>
      </c>
      <c r="I122" s="17"/>
    </row>
    <row r="123" spans="5:9" x14ac:dyDescent="0.2">
      <c r="E123" s="23">
        <v>45461</v>
      </c>
      <c r="F123">
        <v>28.9</v>
      </c>
      <c r="G123">
        <f t="shared" si="3"/>
        <v>9.0372530259414698E-3</v>
      </c>
      <c r="H123" s="2">
        <f t="shared" si="2"/>
        <v>9037.2530259414689</v>
      </c>
      <c r="I123" s="17"/>
    </row>
    <row r="124" spans="5:9" x14ac:dyDescent="0.2">
      <c r="E124" s="23">
        <v>45462</v>
      </c>
      <c r="F124">
        <v>29.24</v>
      </c>
      <c r="G124">
        <f t="shared" si="3"/>
        <v>1.1696039763191236E-2</v>
      </c>
      <c r="H124" s="2">
        <f t="shared" si="2"/>
        <v>11696.039763191236</v>
      </c>
      <c r="I124" s="17"/>
    </row>
    <row r="125" spans="5:9" x14ac:dyDescent="0.2">
      <c r="E125" s="23">
        <v>45463</v>
      </c>
      <c r="F125">
        <v>28.96</v>
      </c>
      <c r="G125">
        <f t="shared" si="3"/>
        <v>-9.6220673640620962E-3</v>
      </c>
      <c r="H125" s="2">
        <f t="shared" si="2"/>
        <v>-9622.0673640620971</v>
      </c>
      <c r="I125" s="17"/>
    </row>
    <row r="126" spans="5:9" x14ac:dyDescent="0.2">
      <c r="E126" s="23">
        <v>45464</v>
      </c>
      <c r="F126">
        <v>29.18</v>
      </c>
      <c r="G126">
        <f t="shared" si="3"/>
        <v>7.567975577123855E-3</v>
      </c>
      <c r="H126" s="2">
        <f t="shared" si="2"/>
        <v>7567.9755771238551</v>
      </c>
      <c r="I126" s="17"/>
    </row>
    <row r="127" spans="5:9" x14ac:dyDescent="0.2">
      <c r="E127" s="23">
        <v>45467</v>
      </c>
      <c r="F127">
        <v>28.99</v>
      </c>
      <c r="G127">
        <f t="shared" si="3"/>
        <v>-6.5326001610754511E-3</v>
      </c>
      <c r="H127" s="2">
        <f t="shared" si="2"/>
        <v>-6532.6001610754511</v>
      </c>
      <c r="I127" s="17"/>
    </row>
    <row r="128" spans="5:9" x14ac:dyDescent="0.2">
      <c r="E128" s="23">
        <v>45468</v>
      </c>
      <c r="F128">
        <v>28.8</v>
      </c>
      <c r="G128">
        <f t="shared" si="3"/>
        <v>-6.5755557916638572E-3</v>
      </c>
      <c r="H128" s="2">
        <f t="shared" si="2"/>
        <v>-6575.5557916638572</v>
      </c>
      <c r="I128" s="17"/>
    </row>
    <row r="129" spans="5:9" x14ac:dyDescent="0.2">
      <c r="E129" s="23">
        <v>45469</v>
      </c>
      <c r="F129">
        <v>28.72</v>
      </c>
      <c r="G129">
        <f t="shared" si="3"/>
        <v>-2.781642961876914E-3</v>
      </c>
      <c r="H129" s="2">
        <f t="shared" si="2"/>
        <v>-2781.6429618769139</v>
      </c>
      <c r="I129" s="17"/>
    </row>
    <row r="130" spans="5:9" x14ac:dyDescent="0.2">
      <c r="E130" s="23">
        <v>45470</v>
      </c>
      <c r="F130">
        <v>28.05</v>
      </c>
      <c r="G130">
        <f t="shared" si="3"/>
        <v>-2.3605112211318093E-2</v>
      </c>
      <c r="H130" s="2">
        <f t="shared" si="2"/>
        <v>-23605.112211318094</v>
      </c>
      <c r="I130" s="17"/>
    </row>
    <row r="131" spans="5:9" x14ac:dyDescent="0.2">
      <c r="E131" s="23">
        <v>45471</v>
      </c>
      <c r="F131">
        <v>28.42</v>
      </c>
      <c r="G131">
        <f t="shared" si="3"/>
        <v>1.3104490700249251E-2</v>
      </c>
      <c r="H131" s="2">
        <f t="shared" si="2"/>
        <v>13104.490700249251</v>
      </c>
      <c r="I131" s="17"/>
    </row>
    <row r="132" spans="5:9" x14ac:dyDescent="0.2">
      <c r="E132" s="23">
        <v>45474</v>
      </c>
      <c r="F132">
        <v>28.1</v>
      </c>
      <c r="G132">
        <f t="shared" si="3"/>
        <v>-1.1323546329254468E-2</v>
      </c>
      <c r="H132" s="2">
        <f t="shared" si="2"/>
        <v>-11323.546329254468</v>
      </c>
      <c r="I132" s="17"/>
    </row>
    <row r="133" spans="5:9" x14ac:dyDescent="0.2">
      <c r="E133" s="23">
        <v>45475</v>
      </c>
      <c r="F133">
        <v>28.35</v>
      </c>
      <c r="G133">
        <f t="shared" si="3"/>
        <v>8.8574538340610229E-3</v>
      </c>
      <c r="H133" s="2">
        <f t="shared" ref="H133:H196" si="4">G133*$B$4</f>
        <v>8857.4538340610234</v>
      </c>
      <c r="I133" s="17"/>
    </row>
    <row r="134" spans="5:9" x14ac:dyDescent="0.2">
      <c r="E134" s="23">
        <v>45476</v>
      </c>
      <c r="F134">
        <v>28.42</v>
      </c>
      <c r="G134">
        <f t="shared" ref="G134:G197" si="5">LN(F134/F133)</f>
        <v>2.4660924951934683E-3</v>
      </c>
      <c r="H134" s="2">
        <f t="shared" si="4"/>
        <v>2466.0924951934685</v>
      </c>
      <c r="I134" s="17"/>
    </row>
    <row r="135" spans="5:9" x14ac:dyDescent="0.2">
      <c r="E135" s="23">
        <v>45477</v>
      </c>
      <c r="F135">
        <v>28.25</v>
      </c>
      <c r="G135">
        <f t="shared" si="5"/>
        <v>-5.9996650765046936E-3</v>
      </c>
      <c r="H135" s="2">
        <f t="shared" si="4"/>
        <v>-5999.6650765046934</v>
      </c>
      <c r="I135" s="17"/>
    </row>
    <row r="136" spans="5:9" x14ac:dyDescent="0.2">
      <c r="E136" s="23">
        <v>45478</v>
      </c>
      <c r="F136">
        <v>28.46</v>
      </c>
      <c r="G136">
        <f t="shared" si="5"/>
        <v>7.4061350692563631E-3</v>
      </c>
      <c r="H136" s="2">
        <f t="shared" si="4"/>
        <v>7406.1350692563628</v>
      </c>
      <c r="I136" s="17"/>
    </row>
    <row r="137" spans="5:9" x14ac:dyDescent="0.2">
      <c r="E137" s="23">
        <v>45480</v>
      </c>
      <c r="F137">
        <v>28.75</v>
      </c>
      <c r="G137">
        <f t="shared" si="5"/>
        <v>1.013817458165314E-2</v>
      </c>
      <c r="H137" s="2">
        <f t="shared" si="4"/>
        <v>10138.17458165314</v>
      </c>
      <c r="I137" s="17"/>
    </row>
    <row r="138" spans="5:9" x14ac:dyDescent="0.2">
      <c r="E138" s="23">
        <v>45481</v>
      </c>
      <c r="F138">
        <v>28.75</v>
      </c>
      <c r="G138">
        <f t="shared" si="5"/>
        <v>0</v>
      </c>
      <c r="H138" s="2">
        <f t="shared" si="4"/>
        <v>0</v>
      </c>
      <c r="I138" s="17"/>
    </row>
    <row r="139" spans="5:9" x14ac:dyDescent="0.2">
      <c r="E139" s="23">
        <v>45482</v>
      </c>
      <c r="F139">
        <v>28.92</v>
      </c>
      <c r="G139">
        <f t="shared" si="5"/>
        <v>5.8956300472044485E-3</v>
      </c>
      <c r="H139" s="2">
        <f t="shared" si="4"/>
        <v>5895.6300472044486</v>
      </c>
      <c r="I139" s="17"/>
    </row>
    <row r="140" spans="5:9" x14ac:dyDescent="0.2">
      <c r="E140" s="23">
        <v>45483</v>
      </c>
      <c r="F140">
        <v>29.25</v>
      </c>
      <c r="G140">
        <f t="shared" si="5"/>
        <v>1.1346176387301522E-2</v>
      </c>
      <c r="H140" s="2">
        <f t="shared" si="4"/>
        <v>11346.176387301522</v>
      </c>
      <c r="I140" s="17"/>
    </row>
    <row r="141" spans="5:9" x14ac:dyDescent="0.2">
      <c r="E141" s="23">
        <v>45484</v>
      </c>
      <c r="F141">
        <v>29.9</v>
      </c>
      <c r="G141">
        <f t="shared" si="5"/>
        <v>2.1978906718775167E-2</v>
      </c>
      <c r="H141" s="2">
        <f t="shared" si="4"/>
        <v>21978.906718775168</v>
      </c>
      <c r="I141" s="17"/>
    </row>
    <row r="142" spans="5:9" x14ac:dyDescent="0.2">
      <c r="E142" s="23">
        <v>45485</v>
      </c>
      <c r="F142">
        <v>29.49</v>
      </c>
      <c r="G142">
        <f t="shared" si="5"/>
        <v>-1.3807257569455925E-2</v>
      </c>
      <c r="H142" s="2">
        <f t="shared" si="4"/>
        <v>-13807.257569455925</v>
      </c>
      <c r="I142" s="17"/>
    </row>
    <row r="143" spans="5:9" x14ac:dyDescent="0.2">
      <c r="E143" s="23">
        <v>45488</v>
      </c>
      <c r="F143">
        <v>29.7</v>
      </c>
      <c r="G143">
        <f t="shared" si="5"/>
        <v>7.0958229814690804E-3</v>
      </c>
      <c r="H143" s="2">
        <f t="shared" si="4"/>
        <v>7095.8229814690803</v>
      </c>
      <c r="I143" s="17"/>
    </row>
    <row r="144" spans="5:9" x14ac:dyDescent="0.2">
      <c r="E144" s="23">
        <v>45489</v>
      </c>
      <c r="F144">
        <v>29.95</v>
      </c>
      <c r="G144">
        <f t="shared" si="5"/>
        <v>8.3822787528044385E-3</v>
      </c>
      <c r="H144" s="2">
        <f t="shared" si="4"/>
        <v>8382.2787528044391</v>
      </c>
      <c r="I144" s="17"/>
    </row>
    <row r="145" spans="5:9" x14ac:dyDescent="0.2">
      <c r="E145" s="23">
        <v>45490</v>
      </c>
      <c r="F145">
        <v>29.86</v>
      </c>
      <c r="G145">
        <f t="shared" si="5"/>
        <v>-3.009532450413994E-3</v>
      </c>
      <c r="H145" s="2">
        <f t="shared" si="4"/>
        <v>-3009.532450413994</v>
      </c>
      <c r="I145" s="17"/>
    </row>
    <row r="146" spans="5:9" x14ac:dyDescent="0.2">
      <c r="E146" s="23">
        <v>45491</v>
      </c>
      <c r="F146">
        <v>30.1</v>
      </c>
      <c r="G146">
        <f t="shared" si="5"/>
        <v>8.005379643785851E-3</v>
      </c>
      <c r="H146" s="2">
        <f t="shared" si="4"/>
        <v>8005.3796437858509</v>
      </c>
      <c r="I146" s="17"/>
    </row>
    <row r="147" spans="5:9" x14ac:dyDescent="0.2">
      <c r="E147" s="23">
        <v>45492</v>
      </c>
      <c r="F147">
        <v>29.79</v>
      </c>
      <c r="G147">
        <f t="shared" si="5"/>
        <v>-1.0352405029639185E-2</v>
      </c>
      <c r="H147" s="2">
        <f t="shared" si="4"/>
        <v>-10352.405029639185</v>
      </c>
      <c r="I147" s="17"/>
    </row>
    <row r="148" spans="5:9" x14ac:dyDescent="0.2">
      <c r="E148" s="23">
        <v>45495</v>
      </c>
      <c r="F148">
        <v>29.36</v>
      </c>
      <c r="G148">
        <f t="shared" si="5"/>
        <v>-1.4539562978876049E-2</v>
      </c>
      <c r="H148" s="2">
        <f t="shared" si="4"/>
        <v>-14539.562978876049</v>
      </c>
      <c r="I148" s="17"/>
    </row>
    <row r="149" spans="5:9" x14ac:dyDescent="0.2">
      <c r="E149" s="23">
        <v>45496</v>
      </c>
      <c r="F149">
        <v>29.69</v>
      </c>
      <c r="G149">
        <f t="shared" si="5"/>
        <v>1.1177085029353617E-2</v>
      </c>
      <c r="H149" s="2">
        <f t="shared" si="4"/>
        <v>11177.085029353617</v>
      </c>
      <c r="I149" s="17"/>
    </row>
    <row r="150" spans="5:9" x14ac:dyDescent="0.2">
      <c r="E150" s="23">
        <v>45497</v>
      </c>
      <c r="F150">
        <v>29.57</v>
      </c>
      <c r="G150">
        <f t="shared" si="5"/>
        <v>-4.0499549112825951E-3</v>
      </c>
      <c r="H150" s="2">
        <f t="shared" si="4"/>
        <v>-4049.9549112825953</v>
      </c>
      <c r="I150" s="17"/>
    </row>
    <row r="151" spans="5:9" x14ac:dyDescent="0.2">
      <c r="E151" s="23">
        <v>45498</v>
      </c>
      <c r="F151">
        <v>29.25</v>
      </c>
      <c r="G151">
        <f t="shared" si="5"/>
        <v>-1.0880760186520398E-2</v>
      </c>
      <c r="H151" s="2">
        <f t="shared" si="4"/>
        <v>-10880.760186520398</v>
      </c>
      <c r="I151" s="17"/>
    </row>
    <row r="152" spans="5:9" x14ac:dyDescent="0.2">
      <c r="E152" s="23">
        <v>45499</v>
      </c>
      <c r="F152">
        <v>29.54</v>
      </c>
      <c r="G152">
        <f t="shared" si="5"/>
        <v>9.8657034253681192E-3</v>
      </c>
      <c r="H152" s="2">
        <f t="shared" si="4"/>
        <v>9865.7034253681195</v>
      </c>
      <c r="I152" s="17"/>
    </row>
    <row r="153" spans="5:9" x14ac:dyDescent="0.2">
      <c r="E153" s="23">
        <v>45502</v>
      </c>
      <c r="F153">
        <v>29.36</v>
      </c>
      <c r="G153">
        <f t="shared" si="5"/>
        <v>-6.1120733569188937E-3</v>
      </c>
      <c r="H153" s="2">
        <f t="shared" si="4"/>
        <v>-6112.0733569188933</v>
      </c>
      <c r="I153" s="17"/>
    </row>
    <row r="154" spans="5:9" x14ac:dyDescent="0.2">
      <c r="E154" s="23">
        <v>45503</v>
      </c>
      <c r="F154">
        <v>28.13</v>
      </c>
      <c r="G154">
        <f t="shared" si="5"/>
        <v>-4.2796581244549402E-2</v>
      </c>
      <c r="H154" s="2">
        <f t="shared" si="4"/>
        <v>-42796.581244549401</v>
      </c>
      <c r="I154" s="17"/>
    </row>
    <row r="155" spans="5:9" x14ac:dyDescent="0.2">
      <c r="E155" s="23">
        <v>45504</v>
      </c>
      <c r="F155">
        <v>28.62</v>
      </c>
      <c r="G155">
        <f t="shared" si="5"/>
        <v>1.7269151626539466E-2</v>
      </c>
      <c r="H155" s="2">
        <f t="shared" si="4"/>
        <v>17269.151626539468</v>
      </c>
      <c r="I155" s="17"/>
    </row>
    <row r="156" spans="5:9" x14ac:dyDescent="0.2">
      <c r="E156" s="23">
        <v>45505</v>
      </c>
      <c r="F156">
        <v>29.35</v>
      </c>
      <c r="G156">
        <f t="shared" si="5"/>
        <v>2.5186772145800517E-2</v>
      </c>
      <c r="H156" s="2">
        <f t="shared" si="4"/>
        <v>25186.772145800518</v>
      </c>
      <c r="I156" s="17"/>
    </row>
    <row r="157" spans="5:9" x14ac:dyDescent="0.2">
      <c r="E157" s="23">
        <v>45506</v>
      </c>
      <c r="F157">
        <v>28.88</v>
      </c>
      <c r="G157">
        <f t="shared" si="5"/>
        <v>-1.614323224948001E-2</v>
      </c>
      <c r="H157" s="2">
        <f t="shared" si="4"/>
        <v>-16143.23224948001</v>
      </c>
      <c r="I157" s="17"/>
    </row>
    <row r="158" spans="5:9" x14ac:dyDescent="0.2">
      <c r="E158" s="23">
        <v>45509</v>
      </c>
      <c r="F158">
        <v>28.12</v>
      </c>
      <c r="G158">
        <f t="shared" si="5"/>
        <v>-2.6668247082161294E-2</v>
      </c>
      <c r="H158" s="2">
        <f t="shared" si="4"/>
        <v>-26668.247082161295</v>
      </c>
      <c r="I158" s="17"/>
    </row>
    <row r="159" spans="5:9" x14ac:dyDescent="0.2">
      <c r="E159" s="23">
        <v>45510</v>
      </c>
      <c r="F159">
        <v>27.4</v>
      </c>
      <c r="G159">
        <f t="shared" si="5"/>
        <v>-2.5938053548439723E-2</v>
      </c>
      <c r="H159" s="2">
        <f t="shared" si="4"/>
        <v>-25938.053548439722</v>
      </c>
      <c r="I159" s="17"/>
    </row>
    <row r="160" spans="5:9" x14ac:dyDescent="0.2">
      <c r="E160" s="23">
        <v>45511</v>
      </c>
      <c r="F160">
        <v>27.24</v>
      </c>
      <c r="G160">
        <f t="shared" si="5"/>
        <v>-5.8565321127129833E-3</v>
      </c>
      <c r="H160" s="2">
        <f t="shared" si="4"/>
        <v>-5856.5321127129837</v>
      </c>
      <c r="I160" s="17"/>
    </row>
    <row r="161" spans="5:9" x14ac:dyDescent="0.2">
      <c r="E161" s="23">
        <v>45512</v>
      </c>
      <c r="F161">
        <v>27.32</v>
      </c>
      <c r="G161">
        <f t="shared" si="5"/>
        <v>2.9325534212777198E-3</v>
      </c>
      <c r="H161" s="2">
        <f t="shared" si="4"/>
        <v>2932.5534212777197</v>
      </c>
      <c r="I161" s="17"/>
    </row>
    <row r="162" spans="5:9" x14ac:dyDescent="0.2">
      <c r="E162" s="23">
        <v>45513</v>
      </c>
      <c r="F162">
        <v>27.97</v>
      </c>
      <c r="G162">
        <f t="shared" si="5"/>
        <v>2.3513472511279023E-2</v>
      </c>
      <c r="H162" s="2">
        <f t="shared" si="4"/>
        <v>23513.472511279022</v>
      </c>
      <c r="I162" s="17"/>
    </row>
    <row r="163" spans="5:9" x14ac:dyDescent="0.2">
      <c r="E163" s="23">
        <v>45516</v>
      </c>
      <c r="F163">
        <v>28.22</v>
      </c>
      <c r="G163">
        <f t="shared" si="5"/>
        <v>8.8984392107995646E-3</v>
      </c>
      <c r="H163" s="2">
        <f t="shared" si="4"/>
        <v>8898.4392107995645</v>
      </c>
      <c r="I163" s="17"/>
    </row>
    <row r="164" spans="5:9" x14ac:dyDescent="0.2">
      <c r="E164" s="23">
        <v>45517</v>
      </c>
      <c r="F164">
        <v>28.4</v>
      </c>
      <c r="G164">
        <f t="shared" si="5"/>
        <v>6.358198742492503E-3</v>
      </c>
      <c r="H164" s="2">
        <f t="shared" si="4"/>
        <v>6358.1987424925028</v>
      </c>
      <c r="I164" s="17"/>
    </row>
    <row r="165" spans="5:9" x14ac:dyDescent="0.2">
      <c r="E165" s="23">
        <v>45518</v>
      </c>
      <c r="F165">
        <v>28.85</v>
      </c>
      <c r="G165">
        <f t="shared" si="5"/>
        <v>1.5720847786948246E-2</v>
      </c>
      <c r="H165" s="2">
        <f t="shared" si="4"/>
        <v>15720.847786948245</v>
      </c>
      <c r="I165" s="17"/>
    </row>
    <row r="166" spans="5:9" x14ac:dyDescent="0.2">
      <c r="E166" s="23">
        <v>45519</v>
      </c>
      <c r="F166">
        <v>28.87</v>
      </c>
      <c r="G166">
        <f t="shared" si="5"/>
        <v>6.9300072073524084E-4</v>
      </c>
      <c r="H166" s="2">
        <f t="shared" si="4"/>
        <v>693.00072073524086</v>
      </c>
      <c r="I166" s="17"/>
    </row>
    <row r="167" spans="5:9" x14ac:dyDescent="0.2">
      <c r="E167" s="23">
        <v>45520</v>
      </c>
      <c r="F167">
        <v>29.51</v>
      </c>
      <c r="G167">
        <f t="shared" si="5"/>
        <v>2.1926195280004411E-2</v>
      </c>
      <c r="H167" s="2">
        <f t="shared" si="4"/>
        <v>21926.195280004413</v>
      </c>
      <c r="I167" s="17"/>
    </row>
    <row r="168" spans="5:9" x14ac:dyDescent="0.2">
      <c r="E168" s="23">
        <v>45523</v>
      </c>
      <c r="F168">
        <v>29.5</v>
      </c>
      <c r="G168">
        <f t="shared" si="5"/>
        <v>-3.3892560907398137E-4</v>
      </c>
      <c r="H168" s="2">
        <f t="shared" si="4"/>
        <v>-338.92560907398138</v>
      </c>
      <c r="I168" s="17"/>
    </row>
    <row r="169" spans="5:9" x14ac:dyDescent="0.2">
      <c r="E169" s="23">
        <v>45524</v>
      </c>
      <c r="F169">
        <v>29.9</v>
      </c>
      <c r="G169">
        <f t="shared" si="5"/>
        <v>1.3468217050866611E-2</v>
      </c>
      <c r="H169" s="2">
        <f t="shared" si="4"/>
        <v>13468.217050866611</v>
      </c>
      <c r="I169" s="17"/>
    </row>
    <row r="170" spans="5:9" x14ac:dyDescent="0.2">
      <c r="E170" s="23">
        <v>45525</v>
      </c>
      <c r="F170">
        <v>29.93</v>
      </c>
      <c r="G170">
        <f t="shared" si="5"/>
        <v>1.0028414679667992E-3</v>
      </c>
      <c r="H170" s="2">
        <f t="shared" si="4"/>
        <v>1002.8414679667992</v>
      </c>
      <c r="I170" s="17"/>
    </row>
    <row r="171" spans="5:9" x14ac:dyDescent="0.2">
      <c r="E171" s="23">
        <v>45526</v>
      </c>
      <c r="F171">
        <v>30.07</v>
      </c>
      <c r="G171">
        <f t="shared" si="5"/>
        <v>4.6666751358301487E-3</v>
      </c>
      <c r="H171" s="2">
        <f t="shared" si="4"/>
        <v>4666.675135830149</v>
      </c>
      <c r="I171" s="17"/>
    </row>
    <row r="172" spans="5:9" x14ac:dyDescent="0.2">
      <c r="E172" s="23">
        <v>45527</v>
      </c>
      <c r="F172">
        <v>29.79</v>
      </c>
      <c r="G172">
        <f t="shared" si="5"/>
        <v>-9.3552302752467984E-3</v>
      </c>
      <c r="H172" s="2">
        <f t="shared" si="4"/>
        <v>-9355.2302752467986</v>
      </c>
      <c r="I172" s="17"/>
    </row>
    <row r="173" spans="5:9" x14ac:dyDescent="0.2">
      <c r="E173" s="23">
        <v>45530</v>
      </c>
      <c r="F173">
        <v>29.49</v>
      </c>
      <c r="G173">
        <f t="shared" si="5"/>
        <v>-1.0121543898006105E-2</v>
      </c>
      <c r="H173" s="2">
        <f t="shared" si="4"/>
        <v>-10121.543898006106</v>
      </c>
      <c r="I173" s="17"/>
    </row>
    <row r="174" spans="5:9" x14ac:dyDescent="0.2">
      <c r="E174" s="23">
        <v>45531</v>
      </c>
      <c r="F174">
        <v>29.66</v>
      </c>
      <c r="G174">
        <f t="shared" si="5"/>
        <v>5.7481138826011892E-3</v>
      </c>
      <c r="H174" s="2">
        <f t="shared" si="4"/>
        <v>5748.1138826011893</v>
      </c>
      <c r="I174" s="17"/>
    </row>
    <row r="175" spans="5:9" x14ac:dyDescent="0.2">
      <c r="E175" s="23">
        <v>45532</v>
      </c>
      <c r="F175">
        <v>29.6</v>
      </c>
      <c r="G175">
        <f t="shared" si="5"/>
        <v>-2.0249753797712791E-3</v>
      </c>
      <c r="H175" s="2">
        <f t="shared" si="4"/>
        <v>-2024.9753797712792</v>
      </c>
      <c r="I175" s="17"/>
    </row>
    <row r="176" spans="5:9" x14ac:dyDescent="0.2">
      <c r="E176" s="23">
        <v>45533</v>
      </c>
      <c r="F176">
        <v>29.99</v>
      </c>
      <c r="G176">
        <f t="shared" si="5"/>
        <v>1.3089631430902927E-2</v>
      </c>
      <c r="H176" s="2">
        <f t="shared" si="4"/>
        <v>13089.631430902928</v>
      </c>
      <c r="I176" s="17"/>
    </row>
    <row r="177" spans="5:9" x14ac:dyDescent="0.2">
      <c r="E177" s="23">
        <v>45534</v>
      </c>
      <c r="F177">
        <v>30.2</v>
      </c>
      <c r="G177">
        <f t="shared" si="5"/>
        <v>6.9779316199062996E-3</v>
      </c>
      <c r="H177" s="2">
        <f t="shared" si="4"/>
        <v>6977.9316199062996</v>
      </c>
      <c r="I177" s="17"/>
    </row>
    <row r="178" spans="5:9" x14ac:dyDescent="0.2">
      <c r="E178" s="23">
        <v>45537</v>
      </c>
      <c r="F178">
        <v>30.3</v>
      </c>
      <c r="G178">
        <f t="shared" si="5"/>
        <v>3.3057881344996315E-3</v>
      </c>
      <c r="H178" s="2">
        <f t="shared" si="4"/>
        <v>3305.7881344996317</v>
      </c>
      <c r="I178" s="17"/>
    </row>
    <row r="179" spans="5:9" x14ac:dyDescent="0.2">
      <c r="E179" s="23">
        <v>45538</v>
      </c>
      <c r="F179">
        <v>30.63</v>
      </c>
      <c r="G179">
        <f t="shared" si="5"/>
        <v>1.0832208329360431E-2</v>
      </c>
      <c r="H179" s="2">
        <f t="shared" si="4"/>
        <v>10832.20832936043</v>
      </c>
      <c r="I179" s="17"/>
    </row>
    <row r="180" spans="5:9" x14ac:dyDescent="0.2">
      <c r="E180" s="23">
        <v>45539</v>
      </c>
      <c r="F180">
        <v>30.7</v>
      </c>
      <c r="G180">
        <f t="shared" si="5"/>
        <v>2.2827337484676892E-3</v>
      </c>
      <c r="H180" s="2">
        <f t="shared" si="4"/>
        <v>2282.7337484676891</v>
      </c>
      <c r="I180" s="17"/>
    </row>
    <row r="181" spans="5:9" x14ac:dyDescent="0.2">
      <c r="E181" s="23">
        <v>45540</v>
      </c>
      <c r="F181">
        <v>30.66</v>
      </c>
      <c r="G181">
        <f t="shared" si="5"/>
        <v>-1.3037811494833809E-3</v>
      </c>
      <c r="H181" s="2">
        <f t="shared" si="4"/>
        <v>-1303.7811494833809</v>
      </c>
      <c r="I181" s="17"/>
    </row>
    <row r="182" spans="5:9" x14ac:dyDescent="0.2">
      <c r="E182" s="23">
        <v>45541</v>
      </c>
      <c r="F182">
        <v>31.17</v>
      </c>
      <c r="G182">
        <f t="shared" si="5"/>
        <v>1.6497220335577621E-2</v>
      </c>
      <c r="H182" s="2">
        <f t="shared" si="4"/>
        <v>16497.220335577622</v>
      </c>
      <c r="I182" s="17"/>
    </row>
    <row r="183" spans="5:9" x14ac:dyDescent="0.2">
      <c r="E183" s="23">
        <v>45544</v>
      </c>
      <c r="F183">
        <v>31.33</v>
      </c>
      <c r="G183">
        <f t="shared" si="5"/>
        <v>5.1200111848545551E-3</v>
      </c>
      <c r="H183" s="2">
        <f t="shared" si="4"/>
        <v>5120.0111848545548</v>
      </c>
      <c r="I183" s="17"/>
    </row>
    <row r="184" spans="5:9" x14ac:dyDescent="0.2">
      <c r="E184" s="23">
        <v>45545</v>
      </c>
      <c r="F184">
        <v>31.75</v>
      </c>
      <c r="G184">
        <f t="shared" si="5"/>
        <v>1.3316620374600244E-2</v>
      </c>
      <c r="H184" s="2">
        <f t="shared" si="4"/>
        <v>13316.620374600245</v>
      </c>
      <c r="I184" s="17"/>
    </row>
    <row r="185" spans="5:9" x14ac:dyDescent="0.2">
      <c r="E185" s="23">
        <v>45546</v>
      </c>
      <c r="F185">
        <v>31.45</v>
      </c>
      <c r="G185">
        <f t="shared" si="5"/>
        <v>-9.4937421922511502E-3</v>
      </c>
      <c r="H185" s="2">
        <f t="shared" si="4"/>
        <v>-9493.7421922511494</v>
      </c>
      <c r="I185" s="17"/>
    </row>
    <row r="186" spans="5:9" x14ac:dyDescent="0.2">
      <c r="E186" s="23">
        <v>45547</v>
      </c>
      <c r="F186">
        <v>31.1</v>
      </c>
      <c r="G186">
        <f t="shared" si="5"/>
        <v>-1.1191163961260993E-2</v>
      </c>
      <c r="H186" s="2">
        <f t="shared" si="4"/>
        <v>-11191.163961260992</v>
      </c>
      <c r="I186" s="17"/>
    </row>
    <row r="187" spans="5:9" x14ac:dyDescent="0.2">
      <c r="E187" s="23">
        <v>45548</v>
      </c>
      <c r="F187">
        <v>31.39</v>
      </c>
      <c r="G187">
        <f t="shared" si="5"/>
        <v>9.281551668673664E-3</v>
      </c>
      <c r="H187" s="2">
        <f t="shared" si="4"/>
        <v>9281.5516686736646</v>
      </c>
      <c r="I187" s="17"/>
    </row>
    <row r="188" spans="5:9" x14ac:dyDescent="0.2">
      <c r="E188" s="23">
        <v>45551</v>
      </c>
      <c r="F188">
        <v>31.21</v>
      </c>
      <c r="G188">
        <f t="shared" si="5"/>
        <v>-5.7508145711741149E-3</v>
      </c>
      <c r="H188" s="2">
        <f t="shared" si="4"/>
        <v>-5750.8145711741145</v>
      </c>
      <c r="I188" s="17"/>
    </row>
    <row r="189" spans="5:9" x14ac:dyDescent="0.2">
      <c r="E189" s="23">
        <v>45552</v>
      </c>
      <c r="F189">
        <v>31.4</v>
      </c>
      <c r="G189">
        <f t="shared" si="5"/>
        <v>6.069336631519439E-3</v>
      </c>
      <c r="H189" s="2">
        <f t="shared" si="4"/>
        <v>6069.3366315194389</v>
      </c>
      <c r="I189" s="17"/>
    </row>
    <row r="190" spans="5:9" x14ac:dyDescent="0.2">
      <c r="E190" s="23">
        <v>45553</v>
      </c>
      <c r="F190">
        <v>31.27</v>
      </c>
      <c r="G190">
        <f t="shared" si="5"/>
        <v>-4.1487214444577095E-3</v>
      </c>
      <c r="H190" s="2">
        <f t="shared" si="4"/>
        <v>-4148.7214444577094</v>
      </c>
      <c r="I190" s="17"/>
    </row>
    <row r="191" spans="5:9" x14ac:dyDescent="0.2">
      <c r="E191" s="23">
        <v>45554</v>
      </c>
      <c r="F191">
        <v>31.54</v>
      </c>
      <c r="G191">
        <f t="shared" si="5"/>
        <v>8.5974100651424815E-3</v>
      </c>
      <c r="H191" s="2">
        <f t="shared" si="4"/>
        <v>8597.4100651424815</v>
      </c>
      <c r="I191" s="17"/>
    </row>
    <row r="192" spans="5:9" x14ac:dyDescent="0.2">
      <c r="E192" s="23">
        <v>45555</v>
      </c>
      <c r="F192">
        <v>31.61</v>
      </c>
      <c r="G192">
        <f t="shared" si="5"/>
        <v>2.2169446926340389E-3</v>
      </c>
      <c r="H192" s="2">
        <f t="shared" si="4"/>
        <v>2216.9446926340388</v>
      </c>
      <c r="I192" s="17"/>
    </row>
    <row r="193" spans="5:9" x14ac:dyDescent="0.2">
      <c r="E193" s="23">
        <v>45558</v>
      </c>
      <c r="F193">
        <v>31.73</v>
      </c>
      <c r="G193">
        <f t="shared" si="5"/>
        <v>3.7890793675779467E-3</v>
      </c>
      <c r="H193" s="2">
        <f t="shared" si="4"/>
        <v>3789.0793675779469</v>
      </c>
      <c r="I193" s="17"/>
    </row>
    <row r="194" spans="5:9" x14ac:dyDescent="0.2">
      <c r="E194" s="23">
        <v>45559</v>
      </c>
      <c r="F194">
        <v>31.8</v>
      </c>
      <c r="G194">
        <f t="shared" si="5"/>
        <v>2.2036841910268814E-3</v>
      </c>
      <c r="H194" s="2">
        <f t="shared" si="4"/>
        <v>2203.6841910268813</v>
      </c>
      <c r="I194" s="17"/>
    </row>
    <row r="195" spans="5:9" x14ac:dyDescent="0.2">
      <c r="E195" s="23">
        <v>45560</v>
      </c>
      <c r="F195">
        <v>31.05</v>
      </c>
      <c r="G195">
        <f t="shared" si="5"/>
        <v>-2.386748140664343E-2</v>
      </c>
      <c r="H195" s="2">
        <f t="shared" si="4"/>
        <v>-23867.48140664343</v>
      </c>
      <c r="I195" s="17"/>
    </row>
    <row r="196" spans="5:9" x14ac:dyDescent="0.2">
      <c r="E196" s="23">
        <v>45561</v>
      </c>
      <c r="F196">
        <v>30.92</v>
      </c>
      <c r="G196">
        <f t="shared" si="5"/>
        <v>-4.1955846602665554E-3</v>
      </c>
      <c r="H196" s="2">
        <f t="shared" si="4"/>
        <v>-4195.5846602665551</v>
      </c>
      <c r="I196" s="17"/>
    </row>
    <row r="197" spans="5:9" x14ac:dyDescent="0.2">
      <c r="E197" s="23">
        <v>45562</v>
      </c>
      <c r="F197">
        <v>30.7</v>
      </c>
      <c r="G197">
        <f t="shared" si="5"/>
        <v>-7.140569126069838E-3</v>
      </c>
      <c r="H197" s="2">
        <f t="shared" ref="H197:H260" si="6">G197*$B$4</f>
        <v>-7140.5691260698377</v>
      </c>
      <c r="I197" s="17"/>
    </row>
    <row r="198" spans="5:9" x14ac:dyDescent="0.2">
      <c r="E198" s="23">
        <v>45565</v>
      </c>
      <c r="F198">
        <v>30.4</v>
      </c>
      <c r="G198">
        <f t="shared" ref="G198:G261" si="7">LN(F198/F197)</f>
        <v>-9.820046180975461E-3</v>
      </c>
      <c r="H198" s="2">
        <f t="shared" si="6"/>
        <v>-9820.0461809754615</v>
      </c>
      <c r="I198" s="17"/>
    </row>
    <row r="199" spans="5:9" x14ac:dyDescent="0.2">
      <c r="E199" s="23">
        <v>45566</v>
      </c>
      <c r="F199">
        <v>30.48</v>
      </c>
      <c r="G199">
        <f t="shared" si="7"/>
        <v>2.62812240626963E-3</v>
      </c>
      <c r="H199" s="2">
        <f t="shared" si="6"/>
        <v>2628.1224062696301</v>
      </c>
      <c r="I199" s="17"/>
    </row>
    <row r="200" spans="5:9" x14ac:dyDescent="0.2">
      <c r="E200" s="23">
        <v>45567</v>
      </c>
      <c r="F200">
        <v>29.94</v>
      </c>
      <c r="G200">
        <f t="shared" si="7"/>
        <v>-1.7875351826963193E-2</v>
      </c>
      <c r="H200" s="2">
        <f t="shared" si="6"/>
        <v>-17875.351826963193</v>
      </c>
      <c r="I200" s="17"/>
    </row>
    <row r="201" spans="5:9" x14ac:dyDescent="0.2">
      <c r="E201" s="23">
        <v>45568</v>
      </c>
      <c r="F201">
        <v>30.2</v>
      </c>
      <c r="G201">
        <f t="shared" si="7"/>
        <v>8.6465453893414812E-3</v>
      </c>
      <c r="H201" s="2">
        <f t="shared" si="6"/>
        <v>8646.5453893414815</v>
      </c>
      <c r="I201" s="17"/>
    </row>
    <row r="202" spans="5:9" x14ac:dyDescent="0.2">
      <c r="E202" s="23">
        <v>45569</v>
      </c>
      <c r="F202">
        <v>30.01</v>
      </c>
      <c r="G202">
        <f t="shared" si="7"/>
        <v>-6.3112649285481173E-3</v>
      </c>
      <c r="H202" s="2">
        <f t="shared" si="6"/>
        <v>-6311.2649285481175</v>
      </c>
      <c r="I202" s="17"/>
    </row>
    <row r="203" spans="5:9" x14ac:dyDescent="0.2">
      <c r="E203" s="23">
        <v>45572</v>
      </c>
      <c r="F203">
        <v>29.82</v>
      </c>
      <c r="G203">
        <f t="shared" si="7"/>
        <v>-6.3513501156833886E-3</v>
      </c>
      <c r="H203" s="2">
        <f t="shared" si="6"/>
        <v>-6351.350115683389</v>
      </c>
      <c r="I203" s="17"/>
    </row>
    <row r="204" spans="5:9" x14ac:dyDescent="0.2">
      <c r="E204" s="23">
        <v>45573</v>
      </c>
      <c r="F204">
        <v>29.87</v>
      </c>
      <c r="G204">
        <f t="shared" si="7"/>
        <v>1.6753228914261741E-3</v>
      </c>
      <c r="H204" s="2">
        <f t="shared" si="6"/>
        <v>1675.322891426174</v>
      </c>
      <c r="I204" s="17"/>
    </row>
    <row r="205" spans="5:9" x14ac:dyDescent="0.2">
      <c r="E205" s="23">
        <v>45574</v>
      </c>
      <c r="F205">
        <v>30.4</v>
      </c>
      <c r="G205">
        <f t="shared" si="7"/>
        <v>1.758797618415759E-2</v>
      </c>
      <c r="H205" s="2">
        <f t="shared" si="6"/>
        <v>17587.976184157589</v>
      </c>
      <c r="I205" s="17"/>
    </row>
    <row r="206" spans="5:9" x14ac:dyDescent="0.2">
      <c r="E206" s="23">
        <v>45575</v>
      </c>
      <c r="F206">
        <v>30.36</v>
      </c>
      <c r="G206">
        <f t="shared" si="7"/>
        <v>-1.3166558847467851E-3</v>
      </c>
      <c r="H206" s="2">
        <f t="shared" si="6"/>
        <v>-1316.655884746785</v>
      </c>
      <c r="I206" s="17"/>
    </row>
    <row r="207" spans="5:9" x14ac:dyDescent="0.2">
      <c r="E207" s="23">
        <v>45576</v>
      </c>
      <c r="F207">
        <v>30.2</v>
      </c>
      <c r="G207">
        <f t="shared" si="7"/>
        <v>-5.2840281466052666E-3</v>
      </c>
      <c r="H207" s="2">
        <f t="shared" si="6"/>
        <v>-5284.0281466052666</v>
      </c>
      <c r="I207" s="17"/>
    </row>
    <row r="208" spans="5:9" x14ac:dyDescent="0.2">
      <c r="E208" s="23">
        <v>45579</v>
      </c>
      <c r="F208">
        <v>30.52</v>
      </c>
      <c r="G208">
        <f t="shared" si="7"/>
        <v>1.0540282035432268E-2</v>
      </c>
      <c r="H208" s="2">
        <f t="shared" si="6"/>
        <v>10540.282035432268</v>
      </c>
      <c r="I208" s="17"/>
    </row>
    <row r="209" spans="5:9" x14ac:dyDescent="0.2">
      <c r="E209" s="23">
        <v>45580</v>
      </c>
      <c r="F209">
        <v>30.99</v>
      </c>
      <c r="G209">
        <f t="shared" si="7"/>
        <v>1.5282365383400562E-2</v>
      </c>
      <c r="H209" s="2">
        <f t="shared" si="6"/>
        <v>15282.365383400562</v>
      </c>
      <c r="I209" s="17"/>
    </row>
    <row r="210" spans="5:9" x14ac:dyDescent="0.2">
      <c r="E210" s="23">
        <v>45581</v>
      </c>
      <c r="F210">
        <v>31.1</v>
      </c>
      <c r="G210">
        <f t="shared" si="7"/>
        <v>3.5432473855317391E-3</v>
      </c>
      <c r="H210" s="2">
        <f t="shared" si="6"/>
        <v>3543.2473855317389</v>
      </c>
      <c r="I210" s="17"/>
    </row>
    <row r="211" spans="5:9" x14ac:dyDescent="0.2">
      <c r="E211" s="23">
        <v>45582</v>
      </c>
      <c r="F211">
        <v>31.63</v>
      </c>
      <c r="G211">
        <f t="shared" si="7"/>
        <v>1.6898218132369008E-2</v>
      </c>
      <c r="H211" s="2">
        <f t="shared" si="6"/>
        <v>16898.218132369009</v>
      </c>
      <c r="I211" s="17"/>
    </row>
    <row r="212" spans="5:9" x14ac:dyDescent="0.2">
      <c r="E212" s="23">
        <v>45583</v>
      </c>
      <c r="F212">
        <v>31.81</v>
      </c>
      <c r="G212">
        <f t="shared" si="7"/>
        <v>5.6746684434953098E-3</v>
      </c>
      <c r="H212" s="2">
        <f t="shared" si="6"/>
        <v>5674.6684434953095</v>
      </c>
      <c r="I212" s="17"/>
    </row>
    <row r="213" spans="5:9" x14ac:dyDescent="0.2">
      <c r="E213" s="23">
        <v>45586</v>
      </c>
      <c r="F213">
        <v>31.7</v>
      </c>
      <c r="G213">
        <f t="shared" si="7"/>
        <v>-3.4640248778177625E-3</v>
      </c>
      <c r="H213" s="2">
        <f t="shared" si="6"/>
        <v>-3464.0248778177624</v>
      </c>
      <c r="I213" s="17"/>
    </row>
    <row r="214" spans="5:9" x14ac:dyDescent="0.2">
      <c r="E214" s="23">
        <v>45587</v>
      </c>
      <c r="F214">
        <v>31.43</v>
      </c>
      <c r="G214">
        <f t="shared" si="7"/>
        <v>-8.553830073758692E-3</v>
      </c>
      <c r="H214" s="2">
        <f t="shared" si="6"/>
        <v>-8553.8300737586924</v>
      </c>
      <c r="I214" s="17"/>
    </row>
    <row r="215" spans="5:9" x14ac:dyDescent="0.2">
      <c r="E215" s="23">
        <v>45588</v>
      </c>
      <c r="F215">
        <v>31.17</v>
      </c>
      <c r="G215">
        <f t="shared" si="7"/>
        <v>-8.3067570302304133E-3</v>
      </c>
      <c r="H215" s="2">
        <f t="shared" si="6"/>
        <v>-8306.7570302304139</v>
      </c>
      <c r="I215" s="17"/>
    </row>
    <row r="216" spans="5:9" x14ac:dyDescent="0.2">
      <c r="E216" s="23">
        <v>45589</v>
      </c>
      <c r="F216">
        <v>31.45</v>
      </c>
      <c r="G216">
        <f t="shared" si="7"/>
        <v>8.9428893672037092E-3</v>
      </c>
      <c r="H216" s="2">
        <f t="shared" si="6"/>
        <v>8942.8893672037084</v>
      </c>
      <c r="I216" s="17"/>
    </row>
    <row r="217" spans="5:9" x14ac:dyDescent="0.2">
      <c r="E217" s="23">
        <v>45590</v>
      </c>
      <c r="F217">
        <v>31.73</v>
      </c>
      <c r="G217">
        <f t="shared" si="7"/>
        <v>8.8636224486546428E-3</v>
      </c>
      <c r="H217" s="2">
        <f t="shared" si="6"/>
        <v>8863.6224486546434</v>
      </c>
      <c r="I217" s="17"/>
    </row>
    <row r="218" spans="5:9" x14ac:dyDescent="0.2">
      <c r="E218" s="23">
        <v>45593</v>
      </c>
      <c r="F218">
        <v>31.71</v>
      </c>
      <c r="G218">
        <f t="shared" si="7"/>
        <v>-6.3051704484820602E-4</v>
      </c>
      <c r="H218" s="2">
        <f t="shared" si="6"/>
        <v>-630.51704484820607</v>
      </c>
      <c r="I218" s="17"/>
    </row>
    <row r="219" spans="5:9" x14ac:dyDescent="0.2">
      <c r="E219" s="23">
        <v>45594</v>
      </c>
      <c r="F219">
        <v>31.43</v>
      </c>
      <c r="G219">
        <f t="shared" si="7"/>
        <v>-8.8692377407797729E-3</v>
      </c>
      <c r="H219" s="2">
        <f t="shared" si="6"/>
        <v>-8869.2377407797721</v>
      </c>
      <c r="I219" s="17"/>
    </row>
    <row r="220" spans="5:9" x14ac:dyDescent="0.2">
      <c r="E220" s="23">
        <v>45595</v>
      </c>
      <c r="F220">
        <v>31.68</v>
      </c>
      <c r="G220">
        <f t="shared" si="7"/>
        <v>7.922716136748862E-3</v>
      </c>
      <c r="H220" s="2">
        <f t="shared" si="6"/>
        <v>7922.7161367488616</v>
      </c>
      <c r="I220" s="17"/>
    </row>
    <row r="221" spans="5:9" x14ac:dyDescent="0.2">
      <c r="E221" s="23">
        <v>45596</v>
      </c>
      <c r="F221">
        <v>31.25</v>
      </c>
      <c r="G221">
        <f t="shared" si="7"/>
        <v>-1.3666190763814541E-2</v>
      </c>
      <c r="H221" s="2">
        <f t="shared" si="6"/>
        <v>-13666.19076381454</v>
      </c>
      <c r="I221" s="17"/>
    </row>
    <row r="222" spans="5:9" x14ac:dyDescent="0.2">
      <c r="E222" s="23">
        <v>45597</v>
      </c>
      <c r="F222">
        <v>30.9</v>
      </c>
      <c r="G222">
        <f t="shared" si="7"/>
        <v>-1.1263192278710827E-2</v>
      </c>
      <c r="H222" s="2">
        <f t="shared" si="6"/>
        <v>-11263.192278710827</v>
      </c>
      <c r="I222" s="17"/>
    </row>
    <row r="223" spans="5:9" x14ac:dyDescent="0.2">
      <c r="E223" s="23">
        <v>45600</v>
      </c>
      <c r="F223">
        <v>31.21</v>
      </c>
      <c r="G223">
        <f t="shared" si="7"/>
        <v>9.9823723789884411E-3</v>
      </c>
      <c r="H223" s="2">
        <f t="shared" si="6"/>
        <v>9982.3723789884407</v>
      </c>
      <c r="I223" s="17"/>
    </row>
    <row r="224" spans="5:9" x14ac:dyDescent="0.2">
      <c r="E224" s="23">
        <v>45601</v>
      </c>
      <c r="F224">
        <v>31.25</v>
      </c>
      <c r="G224">
        <f t="shared" si="7"/>
        <v>1.2808198997223464E-3</v>
      </c>
      <c r="H224" s="2">
        <f t="shared" si="6"/>
        <v>1280.8198997223465</v>
      </c>
      <c r="I224" s="17"/>
    </row>
    <row r="225" spans="5:9" x14ac:dyDescent="0.2">
      <c r="E225" s="23">
        <v>45602</v>
      </c>
      <c r="F225">
        <v>31.2</v>
      </c>
      <c r="G225">
        <f t="shared" si="7"/>
        <v>-1.6012813669738792E-3</v>
      </c>
      <c r="H225" s="2">
        <f t="shared" si="6"/>
        <v>-1601.2813669738791</v>
      </c>
      <c r="I225" s="17"/>
    </row>
    <row r="226" spans="5:9" x14ac:dyDescent="0.2">
      <c r="E226" s="23">
        <v>45603</v>
      </c>
      <c r="F226">
        <v>31.75</v>
      </c>
      <c r="G226">
        <f t="shared" si="7"/>
        <v>1.747463052326392E-2</v>
      </c>
      <c r="H226" s="2">
        <f t="shared" si="6"/>
        <v>17474.630523263921</v>
      </c>
      <c r="I226" s="17"/>
    </row>
    <row r="227" spans="5:9" x14ac:dyDescent="0.2">
      <c r="E227" s="23">
        <v>45604</v>
      </c>
      <c r="F227">
        <v>31.76</v>
      </c>
      <c r="G227">
        <f t="shared" si="7"/>
        <v>3.1491104023437179E-4</v>
      </c>
      <c r="H227" s="2">
        <f t="shared" si="6"/>
        <v>314.9110402343718</v>
      </c>
      <c r="I227" s="17"/>
    </row>
    <row r="228" spans="5:9" x14ac:dyDescent="0.2">
      <c r="E228" s="23">
        <v>45607</v>
      </c>
      <c r="F228">
        <v>32.090000000000003</v>
      </c>
      <c r="G228">
        <f t="shared" si="7"/>
        <v>1.0336818742830604E-2</v>
      </c>
      <c r="H228" s="2">
        <f t="shared" si="6"/>
        <v>10336.818742830603</v>
      </c>
      <c r="I228" s="17"/>
    </row>
    <row r="229" spans="5:9" x14ac:dyDescent="0.2">
      <c r="E229" s="23">
        <v>45608</v>
      </c>
      <c r="F229">
        <v>32.159999999999997</v>
      </c>
      <c r="G229">
        <f t="shared" si="7"/>
        <v>2.1789891889998671E-3</v>
      </c>
      <c r="H229" s="2">
        <f t="shared" si="6"/>
        <v>2178.9891889998671</v>
      </c>
      <c r="I229" s="17"/>
    </row>
    <row r="230" spans="5:9" x14ac:dyDescent="0.2">
      <c r="E230" s="23">
        <v>45609</v>
      </c>
      <c r="F230">
        <v>31.31</v>
      </c>
      <c r="G230">
        <f t="shared" si="7"/>
        <v>-2.6785908972451204E-2</v>
      </c>
      <c r="H230" s="2">
        <f t="shared" si="6"/>
        <v>-26785.908972451205</v>
      </c>
      <c r="I230" s="17"/>
    </row>
    <row r="231" spans="5:9" x14ac:dyDescent="0.2">
      <c r="E231" s="23">
        <v>45610</v>
      </c>
      <c r="F231">
        <v>31.42</v>
      </c>
      <c r="G231">
        <f t="shared" si="7"/>
        <v>3.5070974891609156E-3</v>
      </c>
      <c r="H231" s="2">
        <f t="shared" si="6"/>
        <v>3507.0974891609158</v>
      </c>
      <c r="I231" s="17"/>
    </row>
    <row r="232" spans="5:9" x14ac:dyDescent="0.2">
      <c r="E232" s="23">
        <v>45611</v>
      </c>
      <c r="F232">
        <v>31.8</v>
      </c>
      <c r="G232">
        <f t="shared" si="7"/>
        <v>1.2021656958656082E-2</v>
      </c>
      <c r="H232" s="2">
        <f t="shared" si="6"/>
        <v>12021.656958656082</v>
      </c>
      <c r="I232" s="17"/>
    </row>
    <row r="233" spans="5:9" x14ac:dyDescent="0.2">
      <c r="E233" s="23">
        <v>45614</v>
      </c>
      <c r="F233">
        <v>32.26</v>
      </c>
      <c r="G233">
        <f t="shared" si="7"/>
        <v>1.4361782910931539E-2</v>
      </c>
      <c r="H233" s="2">
        <f t="shared" si="6"/>
        <v>14361.782910931539</v>
      </c>
      <c r="I233" s="17"/>
    </row>
    <row r="234" spans="5:9" x14ac:dyDescent="0.2">
      <c r="E234" s="23">
        <v>45615</v>
      </c>
      <c r="F234">
        <v>32.4</v>
      </c>
      <c r="G234">
        <f t="shared" si="7"/>
        <v>4.3303501012208964E-3</v>
      </c>
      <c r="H234" s="2">
        <f t="shared" si="6"/>
        <v>4330.3501012208962</v>
      </c>
      <c r="I234" s="17"/>
    </row>
    <row r="235" spans="5:9" x14ac:dyDescent="0.2">
      <c r="E235" s="23">
        <v>45616</v>
      </c>
      <c r="F235">
        <v>32.299999999999997</v>
      </c>
      <c r="G235">
        <f t="shared" si="7"/>
        <v>-3.0911925696728579E-3</v>
      </c>
      <c r="H235" s="2">
        <f t="shared" si="6"/>
        <v>-3091.1925696728581</v>
      </c>
      <c r="I235" s="17"/>
    </row>
    <row r="236" spans="5:9" x14ac:dyDescent="0.2">
      <c r="E236" s="23">
        <v>45617</v>
      </c>
      <c r="F236">
        <v>32.5</v>
      </c>
      <c r="G236">
        <f t="shared" si="7"/>
        <v>6.1728591070810161E-3</v>
      </c>
      <c r="H236" s="2">
        <f t="shared" si="6"/>
        <v>6172.8591070810162</v>
      </c>
      <c r="I236" s="17"/>
    </row>
    <row r="237" spans="5:9" x14ac:dyDescent="0.2">
      <c r="E237" s="23">
        <v>45618</v>
      </c>
      <c r="F237">
        <v>32.340000000000003</v>
      </c>
      <c r="G237">
        <f t="shared" si="7"/>
        <v>-4.9352351867308986E-3</v>
      </c>
      <c r="H237" s="2">
        <f t="shared" si="6"/>
        <v>-4935.2351867308989</v>
      </c>
      <c r="I237" s="17"/>
    </row>
    <row r="238" spans="5:9" x14ac:dyDescent="0.2">
      <c r="E238" s="23">
        <v>45621</v>
      </c>
      <c r="F238">
        <v>32.25</v>
      </c>
      <c r="G238">
        <f t="shared" si="7"/>
        <v>-2.7868109071793952E-3</v>
      </c>
      <c r="H238" s="2">
        <f t="shared" si="6"/>
        <v>-2786.8109071793951</v>
      </c>
      <c r="I238" s="17"/>
    </row>
    <row r="239" spans="5:9" x14ac:dyDescent="0.2">
      <c r="E239" s="23">
        <v>45622</v>
      </c>
      <c r="F239">
        <v>31.86</v>
      </c>
      <c r="G239">
        <f t="shared" si="7"/>
        <v>-1.2166738759879038E-2</v>
      </c>
      <c r="H239" s="2">
        <f t="shared" si="6"/>
        <v>-12166.738759879037</v>
      </c>
      <c r="I239" s="17"/>
    </row>
    <row r="240" spans="5:9" x14ac:dyDescent="0.2">
      <c r="E240" s="23">
        <v>45623</v>
      </c>
      <c r="F240">
        <v>31.52</v>
      </c>
      <c r="G240">
        <f t="shared" si="7"/>
        <v>-1.0729039492224091E-2</v>
      </c>
      <c r="H240" s="2">
        <f t="shared" si="6"/>
        <v>-10729.03949222409</v>
      </c>
      <c r="I240" s="17"/>
    </row>
    <row r="241" spans="5:9" x14ac:dyDescent="0.2">
      <c r="E241" s="23">
        <v>45624</v>
      </c>
      <c r="F241">
        <v>31.4</v>
      </c>
      <c r="G241">
        <f t="shared" si="7"/>
        <v>-3.8143720754706774E-3</v>
      </c>
      <c r="H241" s="2">
        <f t="shared" si="6"/>
        <v>-3814.3720754706774</v>
      </c>
      <c r="I241" s="17"/>
    </row>
    <row r="242" spans="5:9" x14ac:dyDescent="0.2">
      <c r="E242" s="23">
        <v>45625</v>
      </c>
      <c r="F242">
        <v>31.3</v>
      </c>
      <c r="G242">
        <f t="shared" si="7"/>
        <v>-3.1897953681000379E-3</v>
      </c>
      <c r="H242" s="2">
        <f t="shared" si="6"/>
        <v>-3189.7953681000381</v>
      </c>
      <c r="I242" s="17"/>
    </row>
    <row r="243" spans="5:9" x14ac:dyDescent="0.2">
      <c r="E243" s="23">
        <v>45628</v>
      </c>
      <c r="F243">
        <v>31.15</v>
      </c>
      <c r="G243">
        <f t="shared" si="7"/>
        <v>-4.8038523126455006E-3</v>
      </c>
      <c r="H243" s="2">
        <f t="shared" si="6"/>
        <v>-4803.8523126455002</v>
      </c>
      <c r="I243" s="17"/>
    </row>
    <row r="244" spans="5:9" x14ac:dyDescent="0.2">
      <c r="E244" s="23">
        <v>45629</v>
      </c>
      <c r="F244">
        <v>31.69</v>
      </c>
      <c r="G244">
        <f t="shared" si="7"/>
        <v>1.718692846936732E-2</v>
      </c>
      <c r="H244" s="2">
        <f t="shared" si="6"/>
        <v>17186.928469367322</v>
      </c>
      <c r="I244" s="17"/>
    </row>
    <row r="245" spans="5:9" x14ac:dyDescent="0.2">
      <c r="E245" s="23">
        <v>45630</v>
      </c>
      <c r="F245">
        <v>31.55</v>
      </c>
      <c r="G245">
        <f t="shared" si="7"/>
        <v>-4.427584715607248E-3</v>
      </c>
      <c r="H245" s="2">
        <f t="shared" si="6"/>
        <v>-4427.5847156072477</v>
      </c>
      <c r="I245" s="17"/>
    </row>
    <row r="246" spans="5:9" x14ac:dyDescent="0.2">
      <c r="E246" s="23">
        <v>45631</v>
      </c>
      <c r="F246">
        <v>31.25</v>
      </c>
      <c r="G246">
        <f t="shared" si="7"/>
        <v>-9.5542128048117219E-3</v>
      </c>
      <c r="H246" s="2">
        <f t="shared" si="6"/>
        <v>-9554.2128048117211</v>
      </c>
      <c r="I246" s="17"/>
    </row>
    <row r="247" spans="5:9" x14ac:dyDescent="0.2">
      <c r="E247" s="23">
        <v>45632</v>
      </c>
      <c r="F247">
        <v>31.22</v>
      </c>
      <c r="G247">
        <f t="shared" si="7"/>
        <v>-9.6046109512457187E-4</v>
      </c>
      <c r="H247" s="2">
        <f t="shared" si="6"/>
        <v>-960.4610951245719</v>
      </c>
      <c r="I247" s="17"/>
    </row>
    <row r="248" spans="5:9" x14ac:dyDescent="0.2">
      <c r="E248" s="23">
        <v>45635</v>
      </c>
      <c r="F248">
        <v>30.9</v>
      </c>
      <c r="G248">
        <f t="shared" si="7"/>
        <v>-1.0302731183586209E-2</v>
      </c>
      <c r="H248" s="2">
        <f t="shared" si="6"/>
        <v>-10302.731183586209</v>
      </c>
      <c r="I248" s="17"/>
    </row>
    <row r="249" spans="5:9" x14ac:dyDescent="0.2">
      <c r="E249" s="23">
        <v>45636</v>
      </c>
      <c r="F249">
        <v>29.84</v>
      </c>
      <c r="G249">
        <f t="shared" si="7"/>
        <v>-3.4906408568139598E-2</v>
      </c>
      <c r="H249" s="2">
        <f t="shared" si="6"/>
        <v>-34906.408568139595</v>
      </c>
      <c r="I249" s="17"/>
    </row>
    <row r="250" spans="5:9" x14ac:dyDescent="0.2">
      <c r="E250" s="23">
        <v>45637</v>
      </c>
      <c r="F250">
        <v>29.54</v>
      </c>
      <c r="G250">
        <f t="shared" si="7"/>
        <v>-1.0104498232326422E-2</v>
      </c>
      <c r="H250" s="2">
        <f t="shared" si="6"/>
        <v>-10104.498232326421</v>
      </c>
      <c r="I250" s="17"/>
    </row>
    <row r="251" spans="5:9" x14ac:dyDescent="0.2">
      <c r="E251" s="23">
        <v>45638</v>
      </c>
      <c r="F251">
        <v>29.06</v>
      </c>
      <c r="G251">
        <f t="shared" si="7"/>
        <v>-1.6382618961096891E-2</v>
      </c>
      <c r="H251" s="2">
        <f t="shared" si="6"/>
        <v>-16382.61896109689</v>
      </c>
      <c r="I251" s="17"/>
    </row>
    <row r="252" spans="5:9" x14ac:dyDescent="0.2">
      <c r="E252" s="23">
        <v>45639</v>
      </c>
      <c r="F252">
        <v>28.95</v>
      </c>
      <c r="G252">
        <f t="shared" si="7"/>
        <v>-3.7924541231325755E-3</v>
      </c>
      <c r="H252" s="2">
        <f t="shared" si="6"/>
        <v>-3792.4541231325757</v>
      </c>
      <c r="I252" s="17"/>
    </row>
    <row r="253" spans="5:9" x14ac:dyDescent="0.2">
      <c r="E253" s="23">
        <v>45642</v>
      </c>
      <c r="F253">
        <v>29.17</v>
      </c>
      <c r="G253">
        <f t="shared" si="7"/>
        <v>7.5705798606259308E-3</v>
      </c>
      <c r="H253" s="2">
        <f t="shared" si="6"/>
        <v>7570.5798606259305</v>
      </c>
      <c r="I253" s="17"/>
    </row>
    <row r="254" spans="5:9" x14ac:dyDescent="0.2">
      <c r="E254" s="23">
        <v>45643</v>
      </c>
      <c r="F254">
        <v>29.19</v>
      </c>
      <c r="G254">
        <f t="shared" si="7"/>
        <v>6.8540098639336853E-4</v>
      </c>
      <c r="H254" s="2">
        <f t="shared" si="6"/>
        <v>685.4009863933685</v>
      </c>
      <c r="I254" s="17"/>
    </row>
    <row r="255" spans="5:9" x14ac:dyDescent="0.2">
      <c r="E255" s="23">
        <v>45644</v>
      </c>
      <c r="F255">
        <v>29.49</v>
      </c>
      <c r="G255">
        <f t="shared" si="7"/>
        <v>1.0225037961161395E-2</v>
      </c>
      <c r="H255" s="2">
        <f t="shared" si="6"/>
        <v>10225.037961161395</v>
      </c>
      <c r="I255" s="17"/>
    </row>
    <row r="256" spans="5:9" x14ac:dyDescent="0.2">
      <c r="E256" s="23">
        <v>45645</v>
      </c>
      <c r="F256">
        <v>28.8</v>
      </c>
      <c r="G256">
        <f t="shared" si="7"/>
        <v>-2.3675835685284575E-2</v>
      </c>
      <c r="H256" s="2">
        <f t="shared" si="6"/>
        <v>-23675.835685284575</v>
      </c>
      <c r="I256" s="17"/>
    </row>
    <row r="257" spans="5:9" x14ac:dyDescent="0.2">
      <c r="E257" s="23">
        <v>45646</v>
      </c>
      <c r="F257">
        <v>28.38</v>
      </c>
      <c r="G257">
        <f t="shared" si="7"/>
        <v>-1.4690715410003706E-2</v>
      </c>
      <c r="H257" s="2">
        <f t="shared" si="6"/>
        <v>-14690.715410003706</v>
      </c>
      <c r="I257" s="17"/>
    </row>
    <row r="258" spans="5:9" x14ac:dyDescent="0.2">
      <c r="E258" s="23">
        <v>45649</v>
      </c>
      <c r="F258">
        <v>28.25</v>
      </c>
      <c r="G258">
        <f t="shared" si="7"/>
        <v>-4.5912141394466284E-3</v>
      </c>
      <c r="H258" s="2">
        <f t="shared" si="6"/>
        <v>-4591.214139446628</v>
      </c>
      <c r="I258" s="17"/>
    </row>
    <row r="259" spans="5:9" x14ac:dyDescent="0.2">
      <c r="E259" s="23">
        <v>45650</v>
      </c>
      <c r="F259">
        <v>28.67</v>
      </c>
      <c r="G259">
        <f t="shared" si="7"/>
        <v>1.4757822302828523E-2</v>
      </c>
      <c r="H259" s="2">
        <f t="shared" si="6"/>
        <v>14757.822302828523</v>
      </c>
      <c r="I259" s="17"/>
    </row>
    <row r="260" spans="5:9" x14ac:dyDescent="0.2">
      <c r="E260" s="23">
        <v>45653</v>
      </c>
      <c r="F260">
        <v>28.65</v>
      </c>
      <c r="G260">
        <f t="shared" si="7"/>
        <v>-6.9783673452997782E-4</v>
      </c>
      <c r="H260" s="2">
        <f t="shared" si="6"/>
        <v>-697.83673452997778</v>
      </c>
      <c r="I260" s="17"/>
    </row>
    <row r="261" spans="5:9" x14ac:dyDescent="0.2">
      <c r="E261" s="23">
        <v>45656</v>
      </c>
      <c r="F261">
        <v>28.73</v>
      </c>
      <c r="G261">
        <f t="shared" si="7"/>
        <v>2.7884298304496754E-3</v>
      </c>
      <c r="H261" s="2">
        <f t="shared" ref="H261:H262" si="8">G261*$B$4</f>
        <v>2788.4298304496756</v>
      </c>
      <c r="I261" s="17"/>
    </row>
    <row r="262" spans="5:9" ht="17" thickBot="1" x14ac:dyDescent="0.25">
      <c r="E262" s="24">
        <v>45657</v>
      </c>
      <c r="F262" s="4">
        <v>28.7</v>
      </c>
      <c r="G262" s="4">
        <f t="shared" ref="G262" si="9">LN(F262/F261)</f>
        <v>-1.0447502256228497E-3</v>
      </c>
      <c r="H262" s="5">
        <f t="shared" si="8"/>
        <v>-1044.7502256228497</v>
      </c>
      <c r="I262" s="17"/>
    </row>
  </sheetData>
  <mergeCells count="3">
    <mergeCell ref="A14:B14"/>
    <mergeCell ref="A1:H1"/>
    <mergeCell ref="A20:B20"/>
  </mergeCells>
  <conditionalFormatting sqref="H2:H104857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C9EFA-B4AF-2143-881B-50255F9A69B8}">
  <dimension ref="A1:H748"/>
  <sheetViews>
    <sheetView workbookViewId="0">
      <selection activeCell="D24" sqref="D24"/>
    </sheetView>
  </sheetViews>
  <sheetFormatPr baseColWidth="10" defaultColWidth="16.83203125" defaultRowHeight="16" x14ac:dyDescent="0.2"/>
  <cols>
    <col min="5" max="5" width="24.5" bestFit="1" customWidth="1"/>
  </cols>
  <sheetData>
    <row r="1" spans="1:8" x14ac:dyDescent="0.2">
      <c r="A1" s="44" t="s">
        <v>0</v>
      </c>
      <c r="B1" s="45" t="s">
        <v>27</v>
      </c>
      <c r="C1" s="45" t="s">
        <v>32</v>
      </c>
      <c r="D1" s="45" t="s">
        <v>28</v>
      </c>
      <c r="E1" s="47" t="s">
        <v>33</v>
      </c>
      <c r="F1" s="34"/>
      <c r="H1" s="35"/>
    </row>
    <row r="2" spans="1:8" x14ac:dyDescent="0.2">
      <c r="A2" s="37"/>
      <c r="B2" s="36"/>
      <c r="C2" s="36"/>
      <c r="D2" s="36"/>
      <c r="E2" s="48"/>
      <c r="F2" s="34"/>
      <c r="H2" s="35"/>
    </row>
    <row r="3" spans="1:8" x14ac:dyDescent="0.2">
      <c r="A3" s="38">
        <v>44199</v>
      </c>
      <c r="B3" s="29">
        <v>84.11</v>
      </c>
      <c r="C3" s="29"/>
      <c r="D3" s="30">
        <v>6789.6</v>
      </c>
      <c r="E3" s="49"/>
      <c r="F3" s="34"/>
      <c r="H3" s="35"/>
    </row>
    <row r="4" spans="1:8" x14ac:dyDescent="0.2">
      <c r="A4" s="38">
        <v>44200</v>
      </c>
      <c r="B4" s="29">
        <v>86.21</v>
      </c>
      <c r="C4" s="29">
        <f>LN(B4/B3)</f>
        <v>2.4660714247487611E-2</v>
      </c>
      <c r="D4" s="30">
        <v>6828.7</v>
      </c>
      <c r="E4" s="50">
        <f>LN(D4/D3)</f>
        <v>5.7422890433967049E-3</v>
      </c>
      <c r="F4" s="34"/>
      <c r="H4" s="35"/>
    </row>
    <row r="5" spans="1:8" x14ac:dyDescent="0.2">
      <c r="A5" s="38">
        <v>44202</v>
      </c>
      <c r="B5" s="29">
        <v>99.46</v>
      </c>
      <c r="C5" s="29">
        <f t="shared" ref="C5:C68" si="0">LN(B5/B4)</f>
        <v>0.14296937306475879</v>
      </c>
      <c r="D5" s="30">
        <v>7142.6</v>
      </c>
      <c r="E5" s="50">
        <f t="shared" ref="E5:E68" si="1">LN(D5/D4)</f>
        <v>4.4942537008090616E-2</v>
      </c>
      <c r="F5" s="34"/>
      <c r="H5" s="35"/>
    </row>
    <row r="6" spans="1:8" x14ac:dyDescent="0.2">
      <c r="A6" s="38">
        <v>44203</v>
      </c>
      <c r="B6" s="29">
        <v>98.7</v>
      </c>
      <c r="C6" s="29">
        <f t="shared" si="0"/>
        <v>-7.6706068471565046E-3</v>
      </c>
      <c r="D6" s="30">
        <v>7265.6</v>
      </c>
      <c r="E6" s="50">
        <f t="shared" si="1"/>
        <v>1.7074025636732441E-2</v>
      </c>
      <c r="F6" s="34"/>
      <c r="H6" s="35"/>
    </row>
    <row r="7" spans="1:8" x14ac:dyDescent="0.2">
      <c r="A7" s="38">
        <v>44205</v>
      </c>
      <c r="B7" s="29">
        <v>101</v>
      </c>
      <c r="C7" s="29">
        <f t="shared" si="0"/>
        <v>2.30355704018236E-2</v>
      </c>
      <c r="D7" s="30">
        <v>7527.1</v>
      </c>
      <c r="E7" s="50">
        <f t="shared" si="1"/>
        <v>3.5358960108107219E-2</v>
      </c>
      <c r="F7" s="34"/>
      <c r="H7" s="35"/>
    </row>
    <row r="8" spans="1:8" x14ac:dyDescent="0.2">
      <c r="A8" s="38">
        <v>44206</v>
      </c>
      <c r="B8" s="29">
        <v>100.08</v>
      </c>
      <c r="C8" s="29">
        <f t="shared" si="0"/>
        <v>-9.150650682603758E-3</v>
      </c>
      <c r="D8" s="30">
        <v>7185.5</v>
      </c>
      <c r="E8" s="50">
        <f t="shared" si="1"/>
        <v>-4.6444734937492446E-2</v>
      </c>
      <c r="F8" s="34"/>
      <c r="H8" s="35"/>
    </row>
    <row r="9" spans="1:8" x14ac:dyDescent="0.2">
      <c r="A9" s="38">
        <v>44207</v>
      </c>
      <c r="B9" s="29">
        <v>106.29</v>
      </c>
      <c r="C9" s="29">
        <f t="shared" si="0"/>
        <v>6.0201341386834778E-2</v>
      </c>
      <c r="D9" s="30">
        <v>7370.8</v>
      </c>
      <c r="E9" s="50">
        <f t="shared" si="1"/>
        <v>2.5461141946404205E-2</v>
      </c>
      <c r="F9" s="34"/>
      <c r="H9" s="35"/>
    </row>
    <row r="10" spans="1:8" x14ac:dyDescent="0.2">
      <c r="A10" s="38">
        <v>44208</v>
      </c>
      <c r="B10" s="29">
        <v>93.88</v>
      </c>
      <c r="C10" s="29">
        <f t="shared" si="0"/>
        <v>-0.12415383656266772</v>
      </c>
      <c r="D10" s="30">
        <v>7235.9</v>
      </c>
      <c r="E10" s="50">
        <f t="shared" si="1"/>
        <v>-1.8471500830953533E-2</v>
      </c>
      <c r="F10" s="34"/>
      <c r="H10" s="35"/>
    </row>
    <row r="11" spans="1:8" x14ac:dyDescent="0.2">
      <c r="A11" s="38">
        <v>44229</v>
      </c>
      <c r="B11" s="29">
        <v>86.59</v>
      </c>
      <c r="C11" s="29">
        <f t="shared" si="0"/>
        <v>-8.0833035523112801E-2</v>
      </c>
      <c r="D11" s="30">
        <v>6762.6</v>
      </c>
      <c r="E11" s="50">
        <f t="shared" si="1"/>
        <v>-6.764731615366433E-2</v>
      </c>
      <c r="F11" s="34"/>
      <c r="H11" s="35"/>
    </row>
    <row r="12" spans="1:8" x14ac:dyDescent="0.2">
      <c r="A12" s="38">
        <v>44230</v>
      </c>
      <c r="B12" s="29">
        <v>84.49</v>
      </c>
      <c r="C12" s="29">
        <f t="shared" si="0"/>
        <v>-2.4551151294956525E-2</v>
      </c>
      <c r="D12" s="30">
        <v>6762.3</v>
      </c>
      <c r="E12" s="50">
        <f t="shared" si="1"/>
        <v>-4.4362620063622524E-5</v>
      </c>
      <c r="F12" s="34"/>
      <c r="H12" s="35"/>
    </row>
    <row r="13" spans="1:8" x14ac:dyDescent="0.2">
      <c r="A13" s="38">
        <v>44233</v>
      </c>
      <c r="B13" s="29">
        <v>100.33</v>
      </c>
      <c r="C13" s="29">
        <f t="shared" si="0"/>
        <v>0.17183156877276809</v>
      </c>
      <c r="D13" s="30">
        <v>7217.8</v>
      </c>
      <c r="E13" s="50">
        <f t="shared" si="1"/>
        <v>6.518712845631025E-2</v>
      </c>
      <c r="F13" s="34"/>
      <c r="H13" s="35"/>
    </row>
    <row r="14" spans="1:8" x14ac:dyDescent="0.2">
      <c r="A14" s="38">
        <v>44234</v>
      </c>
      <c r="B14" s="29">
        <v>99.49</v>
      </c>
      <c r="C14" s="29">
        <f t="shared" si="0"/>
        <v>-8.4076163362530841E-3</v>
      </c>
      <c r="D14" s="30">
        <v>7308.6</v>
      </c>
      <c r="E14" s="50">
        <f t="shared" si="1"/>
        <v>1.2501539621633565E-2</v>
      </c>
      <c r="F14" s="34"/>
      <c r="H14" s="35"/>
    </row>
    <row r="15" spans="1:8" x14ac:dyDescent="0.2">
      <c r="A15" s="38">
        <v>44235</v>
      </c>
      <c r="B15" s="29">
        <v>101.66</v>
      </c>
      <c r="C15" s="29">
        <f t="shared" si="0"/>
        <v>2.1576775417488221E-2</v>
      </c>
      <c r="D15" s="30">
        <v>7491.4</v>
      </c>
      <c r="E15" s="50">
        <f t="shared" si="1"/>
        <v>2.4703958998549196E-2</v>
      </c>
      <c r="F15" s="34"/>
      <c r="H15" s="35"/>
    </row>
    <row r="16" spans="1:8" x14ac:dyDescent="0.2">
      <c r="A16" s="38">
        <v>44236</v>
      </c>
      <c r="B16" s="29">
        <v>101.37</v>
      </c>
      <c r="C16" s="29">
        <f t="shared" si="0"/>
        <v>-2.8567226244480526E-3</v>
      </c>
      <c r="D16" s="30">
        <v>7485.7</v>
      </c>
      <c r="E16" s="50">
        <f t="shared" si="1"/>
        <v>-7.6116207746483372E-4</v>
      </c>
      <c r="F16" s="34"/>
      <c r="H16" s="35"/>
    </row>
    <row r="17" spans="1:8" x14ac:dyDescent="0.2">
      <c r="A17" s="38">
        <v>44238</v>
      </c>
      <c r="B17" s="29">
        <v>105.76</v>
      </c>
      <c r="C17" s="29">
        <f t="shared" si="0"/>
        <v>4.2395186709067952E-2</v>
      </c>
      <c r="D17" s="30">
        <v>7324.3</v>
      </c>
      <c r="E17" s="50">
        <f t="shared" si="1"/>
        <v>-2.1796946676164115E-2</v>
      </c>
      <c r="F17" s="34"/>
      <c r="H17" s="35"/>
    </row>
    <row r="18" spans="1:8" x14ac:dyDescent="0.2">
      <c r="A18" s="38">
        <v>44239</v>
      </c>
      <c r="B18" s="29">
        <v>95.9</v>
      </c>
      <c r="C18" s="29">
        <f t="shared" si="0"/>
        <v>-9.7866394213983646E-2</v>
      </c>
      <c r="D18" s="30">
        <v>7225.2</v>
      </c>
      <c r="E18" s="50">
        <f t="shared" si="1"/>
        <v>-1.3622671920486067E-2</v>
      </c>
      <c r="F18" s="34"/>
      <c r="H18" s="35"/>
    </row>
    <row r="19" spans="1:8" x14ac:dyDescent="0.2">
      <c r="A19" s="38">
        <v>44257</v>
      </c>
      <c r="B19" s="29">
        <v>87.59</v>
      </c>
      <c r="C19" s="29">
        <f t="shared" si="0"/>
        <v>-9.063914571439495E-2</v>
      </c>
      <c r="D19" s="30">
        <v>6824.6</v>
      </c>
      <c r="E19" s="50">
        <f t="shared" si="1"/>
        <v>-5.7041183981369273E-2</v>
      </c>
      <c r="F19" s="34"/>
      <c r="H19" s="35"/>
    </row>
    <row r="20" spans="1:8" x14ac:dyDescent="0.2">
      <c r="A20" s="38">
        <v>44258</v>
      </c>
      <c r="B20" s="29">
        <v>85.4</v>
      </c>
      <c r="C20" s="29">
        <f t="shared" si="0"/>
        <v>-2.5320735380473407E-2</v>
      </c>
      <c r="D20" s="30">
        <v>6818</v>
      </c>
      <c r="E20" s="50">
        <f t="shared" si="1"/>
        <v>-9.675575791846813E-4</v>
      </c>
      <c r="F20" s="34"/>
      <c r="H20" s="35"/>
    </row>
    <row r="21" spans="1:8" x14ac:dyDescent="0.2">
      <c r="A21" s="38">
        <v>44260</v>
      </c>
      <c r="B21" s="29">
        <v>89.7</v>
      </c>
      <c r="C21" s="29">
        <f t="shared" si="0"/>
        <v>4.9124668270226206E-2</v>
      </c>
      <c r="D21" s="30">
        <v>7028.8</v>
      </c>
      <c r="E21" s="50">
        <f t="shared" si="1"/>
        <v>3.0449820523666831E-2</v>
      </c>
      <c r="F21" s="34"/>
      <c r="H21" s="35"/>
    </row>
    <row r="22" spans="1:8" x14ac:dyDescent="0.2">
      <c r="A22" s="38">
        <v>44261</v>
      </c>
      <c r="B22" s="29">
        <v>101.21</v>
      </c>
      <c r="C22" s="29">
        <f t="shared" si="0"/>
        <v>0.12072679713605927</v>
      </c>
      <c r="D22" s="30">
        <v>7260.1</v>
      </c>
      <c r="E22" s="50">
        <f t="shared" si="1"/>
        <v>3.2377608607147827E-2</v>
      </c>
      <c r="F22" s="34"/>
      <c r="H22" s="35"/>
    </row>
    <row r="23" spans="1:8" x14ac:dyDescent="0.2">
      <c r="A23" s="38">
        <v>44263</v>
      </c>
      <c r="B23" s="29">
        <v>101.45</v>
      </c>
      <c r="C23" s="29">
        <f t="shared" si="0"/>
        <v>2.3685000710141212E-3</v>
      </c>
      <c r="D23" s="30">
        <v>7474.5</v>
      </c>
      <c r="E23" s="50">
        <f t="shared" si="1"/>
        <v>2.9103624560906139E-2</v>
      </c>
      <c r="F23" s="34"/>
      <c r="H23" s="35"/>
    </row>
    <row r="24" spans="1:8" x14ac:dyDescent="0.2">
      <c r="A24" s="38">
        <v>44264</v>
      </c>
      <c r="B24" s="29">
        <v>101.84</v>
      </c>
      <c r="C24" s="29">
        <f t="shared" si="0"/>
        <v>3.8368879773273703E-3</v>
      </c>
      <c r="D24" s="30">
        <v>7522.9</v>
      </c>
      <c r="E24" s="50">
        <f t="shared" si="1"/>
        <v>6.4544745128519631E-3</v>
      </c>
      <c r="F24" s="34"/>
      <c r="H24" s="35"/>
    </row>
    <row r="25" spans="1:8" x14ac:dyDescent="0.2">
      <c r="A25" s="38">
        <v>44266</v>
      </c>
      <c r="B25" s="29">
        <v>107</v>
      </c>
      <c r="C25" s="29">
        <f t="shared" si="0"/>
        <v>4.9425880212755083E-2</v>
      </c>
      <c r="D25" s="30">
        <v>7392.7</v>
      </c>
      <c r="E25" s="50">
        <f t="shared" si="1"/>
        <v>-1.7458675094678775E-2</v>
      </c>
      <c r="F25" s="34"/>
      <c r="H25" s="35"/>
    </row>
    <row r="26" spans="1:8" x14ac:dyDescent="0.2">
      <c r="A26" s="38">
        <v>44267</v>
      </c>
      <c r="B26" s="29">
        <v>96.61</v>
      </c>
      <c r="C26" s="29">
        <f t="shared" si="0"/>
        <v>-0.10214657893248802</v>
      </c>
      <c r="D26" s="30">
        <v>7241.2</v>
      </c>
      <c r="E26" s="50">
        <f t="shared" si="1"/>
        <v>-2.070608830595333E-2</v>
      </c>
      <c r="F26" s="34"/>
      <c r="H26" s="35"/>
    </row>
    <row r="27" spans="1:8" x14ac:dyDescent="0.2">
      <c r="A27" s="38">
        <v>44287</v>
      </c>
      <c r="B27" s="29">
        <v>83.75</v>
      </c>
      <c r="C27" s="29">
        <f t="shared" si="0"/>
        <v>-0.14284608482424233</v>
      </c>
      <c r="D27" s="30">
        <v>6684.2</v>
      </c>
      <c r="E27" s="50">
        <f t="shared" si="1"/>
        <v>-8.0040406031890554E-2</v>
      </c>
      <c r="F27" s="34"/>
      <c r="H27" s="35"/>
    </row>
    <row r="28" spans="1:8" x14ac:dyDescent="0.2">
      <c r="A28" s="38">
        <v>44288</v>
      </c>
      <c r="B28" s="29">
        <v>87.06</v>
      </c>
      <c r="C28" s="29">
        <f t="shared" si="0"/>
        <v>3.8761365418975707E-2</v>
      </c>
      <c r="D28" s="30">
        <v>6765.5</v>
      </c>
      <c r="E28" s="50">
        <f t="shared" si="1"/>
        <v>1.2089636233800726E-2</v>
      </c>
      <c r="F28" s="34"/>
      <c r="H28" s="35"/>
    </row>
    <row r="29" spans="1:8" x14ac:dyDescent="0.2">
      <c r="A29" s="38">
        <v>44289</v>
      </c>
      <c r="B29" s="29">
        <v>86.38</v>
      </c>
      <c r="C29" s="29">
        <f t="shared" si="0"/>
        <v>-7.8413685915964919E-3</v>
      </c>
      <c r="D29" s="30">
        <v>6760.7</v>
      </c>
      <c r="E29" s="50">
        <f t="shared" si="1"/>
        <v>-7.0973373179296405E-4</v>
      </c>
      <c r="F29" s="34"/>
      <c r="H29" s="35"/>
    </row>
    <row r="30" spans="1:8" x14ac:dyDescent="0.2">
      <c r="A30" s="38">
        <v>44291</v>
      </c>
      <c r="B30" s="29">
        <v>90.45</v>
      </c>
      <c r="C30" s="29">
        <f t="shared" si="0"/>
        <v>4.604104430874921E-2</v>
      </c>
      <c r="D30" s="30">
        <v>7067.9</v>
      </c>
      <c r="E30" s="50">
        <f t="shared" si="1"/>
        <v>4.4436971093682595E-2</v>
      </c>
      <c r="F30" s="34"/>
      <c r="H30" s="35"/>
    </row>
    <row r="31" spans="1:8" x14ac:dyDescent="0.2">
      <c r="A31" s="38">
        <v>44292</v>
      </c>
      <c r="B31" s="29">
        <v>102.52</v>
      </c>
      <c r="C31" s="29">
        <f t="shared" si="0"/>
        <v>0.12526068965456622</v>
      </c>
      <c r="D31" s="30">
        <v>7295.4</v>
      </c>
      <c r="E31" s="50">
        <f t="shared" si="1"/>
        <v>3.1680606464838834E-2</v>
      </c>
      <c r="F31" s="34"/>
      <c r="H31" s="35"/>
    </row>
    <row r="32" spans="1:8" x14ac:dyDescent="0.2">
      <c r="A32" s="38">
        <v>44294</v>
      </c>
      <c r="B32" s="29">
        <v>102.23</v>
      </c>
      <c r="C32" s="29">
        <f t="shared" si="0"/>
        <v>-2.832724726947628E-3</v>
      </c>
      <c r="D32" s="30">
        <v>7503.2</v>
      </c>
      <c r="E32" s="50">
        <f t="shared" si="1"/>
        <v>2.8085583664301139E-2</v>
      </c>
      <c r="F32" s="34"/>
      <c r="H32" s="35"/>
    </row>
    <row r="33" spans="1:8" x14ac:dyDescent="0.2">
      <c r="A33" s="38">
        <v>44296</v>
      </c>
      <c r="B33" s="29">
        <v>105.16</v>
      </c>
      <c r="C33" s="29">
        <f t="shared" si="0"/>
        <v>2.8257823092757737E-2</v>
      </c>
      <c r="D33" s="30">
        <v>7278.5</v>
      </c>
      <c r="E33" s="50">
        <f t="shared" si="1"/>
        <v>-3.0404799190013154E-2</v>
      </c>
      <c r="F33" s="34"/>
      <c r="H33" s="35"/>
    </row>
    <row r="34" spans="1:8" x14ac:dyDescent="0.2">
      <c r="A34" s="38">
        <v>44297</v>
      </c>
      <c r="B34" s="29">
        <v>108.5</v>
      </c>
      <c r="C34" s="29">
        <f t="shared" si="0"/>
        <v>3.1267173118833883E-2</v>
      </c>
      <c r="D34" s="30">
        <v>7428</v>
      </c>
      <c r="E34" s="50">
        <f t="shared" si="1"/>
        <v>2.0331846467880894E-2</v>
      </c>
      <c r="F34" s="34"/>
      <c r="H34" s="35"/>
    </row>
    <row r="35" spans="1:8" x14ac:dyDescent="0.2">
      <c r="A35" s="38">
        <v>44317</v>
      </c>
      <c r="B35" s="29">
        <v>83.23</v>
      </c>
      <c r="C35" s="29">
        <f t="shared" si="0"/>
        <v>-0.26514231322251047</v>
      </c>
      <c r="D35" s="30">
        <v>6681.9</v>
      </c>
      <c r="E35" s="50">
        <f t="shared" si="1"/>
        <v>-0.10585426524704795</v>
      </c>
      <c r="F35" s="34"/>
      <c r="H35" s="35"/>
    </row>
    <row r="36" spans="1:8" x14ac:dyDescent="0.2">
      <c r="A36" s="38">
        <v>44318</v>
      </c>
      <c r="B36" s="29">
        <v>88.64</v>
      </c>
      <c r="C36" s="29">
        <f t="shared" si="0"/>
        <v>6.2975363240969959E-2</v>
      </c>
      <c r="D36" s="30">
        <v>6840.5</v>
      </c>
      <c r="E36" s="50">
        <f t="shared" si="1"/>
        <v>2.3458450134620269E-2</v>
      </c>
      <c r="F36" s="34"/>
      <c r="H36" s="35"/>
    </row>
    <row r="37" spans="1:8" x14ac:dyDescent="0.2">
      <c r="A37" s="38">
        <v>44319</v>
      </c>
      <c r="B37" s="29">
        <v>86.45</v>
      </c>
      <c r="C37" s="29">
        <f t="shared" si="0"/>
        <v>-2.501701086967419E-2</v>
      </c>
      <c r="D37" s="30">
        <v>6710.8</v>
      </c>
      <c r="E37" s="50">
        <f t="shared" si="1"/>
        <v>-1.9142659463923337E-2</v>
      </c>
      <c r="F37" s="34"/>
      <c r="H37" s="35"/>
    </row>
    <row r="38" spans="1:8" x14ac:dyDescent="0.2">
      <c r="A38" s="38">
        <v>44321</v>
      </c>
      <c r="B38" s="29">
        <v>92.72</v>
      </c>
      <c r="C38" s="29">
        <f t="shared" si="0"/>
        <v>7.0017986902196724E-2</v>
      </c>
      <c r="D38" s="30">
        <v>7095.8</v>
      </c>
      <c r="E38" s="50">
        <f t="shared" si="1"/>
        <v>5.578489080307112E-2</v>
      </c>
      <c r="F38" s="34"/>
      <c r="H38" s="35"/>
    </row>
    <row r="39" spans="1:8" x14ac:dyDescent="0.2">
      <c r="A39" s="38">
        <v>44323</v>
      </c>
      <c r="B39" s="29">
        <v>99.18</v>
      </c>
      <c r="C39" s="29">
        <f t="shared" si="0"/>
        <v>6.7352182029491559E-2</v>
      </c>
      <c r="D39" s="30">
        <v>7315</v>
      </c>
      <c r="E39" s="50">
        <f t="shared" si="1"/>
        <v>3.0423974754908194E-2</v>
      </c>
      <c r="F39" s="34"/>
      <c r="H39" s="35"/>
    </row>
    <row r="40" spans="1:8" x14ac:dyDescent="0.2">
      <c r="A40" s="38">
        <v>44324</v>
      </c>
      <c r="B40" s="29">
        <v>103.41</v>
      </c>
      <c r="C40" s="29">
        <f t="shared" si="0"/>
        <v>4.1765288135895723E-2</v>
      </c>
      <c r="D40" s="30">
        <v>7511.1</v>
      </c>
      <c r="E40" s="50">
        <f t="shared" si="1"/>
        <v>2.6454891949576509E-2</v>
      </c>
      <c r="F40" s="34"/>
      <c r="H40" s="35"/>
    </row>
    <row r="41" spans="1:8" x14ac:dyDescent="0.2">
      <c r="A41" s="38">
        <v>44326</v>
      </c>
      <c r="B41" s="29">
        <v>105.5</v>
      </c>
      <c r="C41" s="29">
        <f t="shared" si="0"/>
        <v>2.0009283719237617E-2</v>
      </c>
      <c r="D41" s="30">
        <v>7248.4</v>
      </c>
      <c r="E41" s="50">
        <f t="shared" si="1"/>
        <v>-3.5601171565798458E-2</v>
      </c>
      <c r="F41" s="34"/>
      <c r="H41" s="35"/>
    </row>
    <row r="42" spans="1:8" x14ac:dyDescent="0.2">
      <c r="A42" s="38">
        <v>44327</v>
      </c>
      <c r="B42" s="29">
        <v>109.71</v>
      </c>
      <c r="C42" s="29">
        <f t="shared" si="0"/>
        <v>3.9129567913278249E-2</v>
      </c>
      <c r="D42" s="30">
        <v>7456.9</v>
      </c>
      <c r="E42" s="50">
        <f t="shared" si="1"/>
        <v>2.8359023397287755E-2</v>
      </c>
      <c r="F42" s="34"/>
      <c r="H42" s="35"/>
    </row>
    <row r="43" spans="1:8" x14ac:dyDescent="0.2">
      <c r="A43" s="38">
        <v>44348</v>
      </c>
      <c r="B43" s="29">
        <v>82.9</v>
      </c>
      <c r="C43" s="29">
        <f t="shared" si="0"/>
        <v>-0.28020545868815011</v>
      </c>
      <c r="D43" s="30">
        <v>6607.1</v>
      </c>
      <c r="E43" s="50">
        <f t="shared" si="1"/>
        <v>-0.12099494985755627</v>
      </c>
      <c r="F43" s="34"/>
      <c r="H43" s="35"/>
    </row>
    <row r="44" spans="1:8" x14ac:dyDescent="0.2">
      <c r="A44" s="38">
        <v>44351</v>
      </c>
      <c r="B44" s="29">
        <v>86.03</v>
      </c>
      <c r="C44" s="29">
        <f t="shared" si="0"/>
        <v>3.7061010492007482E-2</v>
      </c>
      <c r="D44" s="30">
        <v>6885.9</v>
      </c>
      <c r="E44" s="50">
        <f t="shared" si="1"/>
        <v>4.1331014196291364E-2</v>
      </c>
      <c r="F44" s="34"/>
      <c r="H44" s="35"/>
    </row>
    <row r="45" spans="1:8" x14ac:dyDescent="0.2">
      <c r="A45" s="38">
        <v>44352</v>
      </c>
      <c r="B45" s="29">
        <v>92.94</v>
      </c>
      <c r="C45" s="29">
        <f t="shared" si="0"/>
        <v>7.7258051023575552E-2</v>
      </c>
      <c r="D45" s="30">
        <v>7061.7</v>
      </c>
      <c r="E45" s="50">
        <f t="shared" si="1"/>
        <v>2.5209973128365541E-2</v>
      </c>
      <c r="F45" s="34"/>
      <c r="H45" s="35"/>
    </row>
    <row r="46" spans="1:8" x14ac:dyDescent="0.2">
      <c r="A46" s="38">
        <v>44354</v>
      </c>
      <c r="B46" s="29">
        <v>98.62</v>
      </c>
      <c r="C46" s="29">
        <f t="shared" si="0"/>
        <v>5.9319957139147901E-2</v>
      </c>
      <c r="D46" s="30">
        <v>7261.8</v>
      </c>
      <c r="E46" s="50">
        <f t="shared" si="1"/>
        <v>2.794191627022204E-2</v>
      </c>
      <c r="F46" s="34"/>
      <c r="H46" s="35"/>
    </row>
    <row r="47" spans="1:8" x14ac:dyDescent="0.2">
      <c r="A47" s="38">
        <v>44355</v>
      </c>
      <c r="B47" s="29">
        <v>103.75</v>
      </c>
      <c r="C47" s="29">
        <f t="shared" si="0"/>
        <v>5.0710078314827683E-2</v>
      </c>
      <c r="D47" s="30">
        <v>7538.4</v>
      </c>
      <c r="E47" s="50">
        <f t="shared" si="1"/>
        <v>3.7382225919933246E-2</v>
      </c>
      <c r="F47" s="34"/>
      <c r="H47" s="35"/>
    </row>
    <row r="48" spans="1:8" x14ac:dyDescent="0.2">
      <c r="A48" s="38">
        <v>44356</v>
      </c>
      <c r="B48" s="29">
        <v>102.16</v>
      </c>
      <c r="C48" s="29">
        <f t="shared" si="0"/>
        <v>-1.5443947386523894E-2</v>
      </c>
      <c r="D48" s="30">
        <v>7528.5</v>
      </c>
      <c r="E48" s="50">
        <f t="shared" si="1"/>
        <v>-1.3141391294483873E-3</v>
      </c>
      <c r="F48" s="34"/>
      <c r="H48" s="35"/>
    </row>
    <row r="49" spans="1:8" x14ac:dyDescent="0.2">
      <c r="A49" s="38">
        <v>44357</v>
      </c>
      <c r="B49" s="29">
        <v>103.42</v>
      </c>
      <c r="C49" s="29">
        <f t="shared" si="0"/>
        <v>1.2258155243791626E-2</v>
      </c>
      <c r="D49" s="30">
        <v>7206.5</v>
      </c>
      <c r="E49" s="50">
        <f t="shared" si="1"/>
        <v>-4.3712422239940638E-2</v>
      </c>
      <c r="F49" s="34"/>
      <c r="H49" s="35"/>
    </row>
    <row r="50" spans="1:8" x14ac:dyDescent="0.2">
      <c r="A50" s="38">
        <v>44359</v>
      </c>
      <c r="B50" s="29">
        <v>97.24</v>
      </c>
      <c r="C50" s="29">
        <f t="shared" si="0"/>
        <v>-6.1616217520152929E-2</v>
      </c>
      <c r="D50" s="30">
        <v>7245.1</v>
      </c>
      <c r="E50" s="50">
        <f t="shared" si="1"/>
        <v>5.3419817588683024E-3</v>
      </c>
      <c r="F50" s="34"/>
      <c r="H50" s="35"/>
    </row>
    <row r="51" spans="1:8" x14ac:dyDescent="0.2">
      <c r="A51" s="38">
        <v>44378</v>
      </c>
      <c r="B51" s="29">
        <v>84.58</v>
      </c>
      <c r="C51" s="29">
        <f t="shared" si="0"/>
        <v>-0.13948431740358</v>
      </c>
      <c r="D51" s="30">
        <v>6712</v>
      </c>
      <c r="E51" s="50">
        <f t="shared" si="1"/>
        <v>-7.642840913498361E-2</v>
      </c>
      <c r="F51" s="34"/>
      <c r="H51" s="35"/>
    </row>
    <row r="52" spans="1:8" x14ac:dyDescent="0.2">
      <c r="A52" s="38">
        <v>44381</v>
      </c>
      <c r="B52" s="29">
        <v>86.53</v>
      </c>
      <c r="C52" s="29">
        <f t="shared" si="0"/>
        <v>2.279334257430506E-2</v>
      </c>
      <c r="D52" s="30">
        <v>6928</v>
      </c>
      <c r="E52" s="50">
        <f t="shared" si="1"/>
        <v>3.1674202095229059E-2</v>
      </c>
      <c r="F52" s="34"/>
      <c r="H52" s="35"/>
    </row>
    <row r="53" spans="1:8" x14ac:dyDescent="0.2">
      <c r="A53" s="38">
        <v>44382</v>
      </c>
      <c r="B53" s="29">
        <v>93.92</v>
      </c>
      <c r="C53" s="29">
        <f t="shared" si="0"/>
        <v>8.1952181461138848E-2</v>
      </c>
      <c r="D53" s="30">
        <v>7080.8</v>
      </c>
      <c r="E53" s="50">
        <f t="shared" si="1"/>
        <v>2.181572441239615E-2</v>
      </c>
      <c r="F53" s="34"/>
      <c r="H53" s="35"/>
    </row>
    <row r="54" spans="1:8" x14ac:dyDescent="0.2">
      <c r="A54" s="38">
        <v>44383</v>
      </c>
      <c r="B54" s="29">
        <v>101.93</v>
      </c>
      <c r="C54" s="29">
        <f t="shared" si="0"/>
        <v>8.1842947100535232E-2</v>
      </c>
      <c r="D54" s="30">
        <v>7281.9</v>
      </c>
      <c r="E54" s="50">
        <f t="shared" si="1"/>
        <v>2.8004921495346058E-2</v>
      </c>
      <c r="F54" s="34"/>
      <c r="H54" s="35"/>
    </row>
    <row r="55" spans="1:8" x14ac:dyDescent="0.2">
      <c r="A55" s="38">
        <v>44384</v>
      </c>
      <c r="B55" s="29">
        <v>99.71</v>
      </c>
      <c r="C55" s="29">
        <f t="shared" si="0"/>
        <v>-2.2020330339620028E-2</v>
      </c>
      <c r="D55" s="30">
        <v>7326.9</v>
      </c>
      <c r="E55" s="50">
        <f t="shared" si="1"/>
        <v>6.1606897661381473E-3</v>
      </c>
      <c r="F55" s="34"/>
      <c r="H55" s="35"/>
    </row>
    <row r="56" spans="1:8" x14ac:dyDescent="0.2">
      <c r="A56" s="38">
        <v>44386</v>
      </c>
      <c r="B56" s="29">
        <v>102.14</v>
      </c>
      <c r="C56" s="29">
        <f t="shared" si="0"/>
        <v>2.407844837879634E-2</v>
      </c>
      <c r="D56" s="30">
        <v>7530.3</v>
      </c>
      <c r="E56" s="50">
        <f t="shared" si="1"/>
        <v>2.7382374721620951E-2</v>
      </c>
      <c r="F56" s="34"/>
      <c r="H56" s="35"/>
    </row>
    <row r="57" spans="1:8" x14ac:dyDescent="0.2">
      <c r="A57" s="38">
        <v>44387</v>
      </c>
      <c r="B57" s="29">
        <v>103.41</v>
      </c>
      <c r="C57" s="29">
        <f t="shared" si="0"/>
        <v>1.2357247977385728E-2</v>
      </c>
      <c r="D57" s="30">
        <v>7256.7</v>
      </c>
      <c r="E57" s="50">
        <f t="shared" si="1"/>
        <v>-3.7009701610576699E-2</v>
      </c>
      <c r="F57" s="34"/>
      <c r="H57" s="35"/>
    </row>
    <row r="58" spans="1:8" x14ac:dyDescent="0.2">
      <c r="A58" s="38">
        <v>44389</v>
      </c>
      <c r="B58" s="29">
        <v>97.63</v>
      </c>
      <c r="C58" s="29">
        <f t="shared" si="0"/>
        <v>-5.7516845959303599E-2</v>
      </c>
      <c r="D58" s="30">
        <v>7313.9</v>
      </c>
      <c r="E58" s="50">
        <f t="shared" si="1"/>
        <v>7.851467179584088E-3</v>
      </c>
      <c r="F58" s="34"/>
      <c r="H58" s="35"/>
    </row>
    <row r="59" spans="1:8" x14ac:dyDescent="0.2">
      <c r="A59" s="38">
        <v>44409</v>
      </c>
      <c r="B59" s="29">
        <v>85.63</v>
      </c>
      <c r="C59" s="29">
        <f t="shared" si="0"/>
        <v>-0.13114913419947946</v>
      </c>
      <c r="D59" s="30">
        <v>6757.9</v>
      </c>
      <c r="E59" s="50">
        <f t="shared" si="1"/>
        <v>-7.9064456319326307E-2</v>
      </c>
      <c r="F59" s="34"/>
      <c r="H59" s="35"/>
    </row>
    <row r="60" spans="1:8" x14ac:dyDescent="0.2">
      <c r="A60" s="38">
        <v>44410</v>
      </c>
      <c r="B60" s="29">
        <v>88.62</v>
      </c>
      <c r="C60" s="29">
        <f t="shared" si="0"/>
        <v>3.4321876733242947E-2</v>
      </c>
      <c r="D60" s="30">
        <v>6880.7</v>
      </c>
      <c r="E60" s="50">
        <f t="shared" si="1"/>
        <v>1.8008200050393768E-2</v>
      </c>
      <c r="F60" s="34"/>
      <c r="H60" s="35"/>
    </row>
    <row r="61" spans="1:8" x14ac:dyDescent="0.2">
      <c r="A61" s="38">
        <v>44411</v>
      </c>
      <c r="B61" s="29">
        <v>87.32</v>
      </c>
      <c r="C61" s="29">
        <f t="shared" si="0"/>
        <v>-1.4778034089600453E-2</v>
      </c>
      <c r="D61" s="30">
        <v>6739.6</v>
      </c>
      <c r="E61" s="50">
        <f t="shared" si="1"/>
        <v>-2.0719814973616985E-2</v>
      </c>
      <c r="F61" s="34"/>
      <c r="H61" s="35"/>
    </row>
    <row r="62" spans="1:8" x14ac:dyDescent="0.2">
      <c r="A62" s="38">
        <v>44412</v>
      </c>
      <c r="B62" s="29">
        <v>87.12</v>
      </c>
      <c r="C62" s="29">
        <f t="shared" si="0"/>
        <v>-2.2930530570379913E-3</v>
      </c>
      <c r="D62" s="30">
        <v>6998.8</v>
      </c>
      <c r="E62" s="50">
        <f t="shared" si="1"/>
        <v>3.7738129806234547E-2</v>
      </c>
      <c r="F62" s="34"/>
      <c r="H62" s="35"/>
    </row>
    <row r="63" spans="1:8" x14ac:dyDescent="0.2">
      <c r="A63" s="38">
        <v>44414</v>
      </c>
      <c r="B63" s="29">
        <v>101.48</v>
      </c>
      <c r="C63" s="29">
        <f t="shared" si="0"/>
        <v>0.15257525610637607</v>
      </c>
      <c r="D63" s="30">
        <v>7292.6</v>
      </c>
      <c r="E63" s="50">
        <f t="shared" si="1"/>
        <v>4.1121429595939819E-2</v>
      </c>
      <c r="F63" s="34"/>
      <c r="H63" s="35"/>
    </row>
    <row r="64" spans="1:8" x14ac:dyDescent="0.2">
      <c r="A64" s="38">
        <v>44415</v>
      </c>
      <c r="B64" s="29">
        <v>99.49</v>
      </c>
      <c r="C64" s="29">
        <f t="shared" si="0"/>
        <v>-1.9804598129812924E-2</v>
      </c>
      <c r="D64" s="30">
        <v>7341.4</v>
      </c>
      <c r="E64" s="50">
        <f t="shared" si="1"/>
        <v>6.6694247492395829E-3</v>
      </c>
      <c r="F64" s="34"/>
      <c r="H64" s="35"/>
    </row>
    <row r="65" spans="1:8" x14ac:dyDescent="0.2">
      <c r="A65" s="38">
        <v>44417</v>
      </c>
      <c r="B65" s="29">
        <v>102.92</v>
      </c>
      <c r="C65" s="29">
        <f t="shared" si="0"/>
        <v>3.3894850812275223E-2</v>
      </c>
      <c r="D65" s="30">
        <v>7512</v>
      </c>
      <c r="E65" s="50">
        <f t="shared" si="1"/>
        <v>2.2972181772454622E-2</v>
      </c>
      <c r="F65" s="34"/>
      <c r="H65" s="35"/>
    </row>
    <row r="66" spans="1:8" x14ac:dyDescent="0.2">
      <c r="A66" s="38">
        <v>44418</v>
      </c>
      <c r="B66" s="29">
        <v>104.45</v>
      </c>
      <c r="C66" s="29">
        <f t="shared" si="0"/>
        <v>1.4756500589031316E-2</v>
      </c>
      <c r="D66" s="30">
        <v>7320.1</v>
      </c>
      <c r="E66" s="50">
        <f t="shared" si="1"/>
        <v>-2.587775282386914E-2</v>
      </c>
      <c r="F66" s="34"/>
      <c r="H66" s="35"/>
    </row>
    <row r="67" spans="1:8" x14ac:dyDescent="0.2">
      <c r="A67" s="38">
        <v>44419</v>
      </c>
      <c r="B67" s="29">
        <v>110.13</v>
      </c>
      <c r="C67" s="29">
        <f t="shared" si="0"/>
        <v>5.2952998174277732E-2</v>
      </c>
      <c r="D67" s="30">
        <v>7452.2</v>
      </c>
      <c r="E67" s="50">
        <f t="shared" si="1"/>
        <v>1.7885301729740531E-2</v>
      </c>
      <c r="F67" s="34"/>
      <c r="H67" s="35"/>
    </row>
    <row r="68" spans="1:8" x14ac:dyDescent="0.2">
      <c r="A68" s="38">
        <v>44420</v>
      </c>
      <c r="B68" s="29">
        <v>97.95</v>
      </c>
      <c r="C68" s="29">
        <f t="shared" si="0"/>
        <v>-0.11720434178630282</v>
      </c>
      <c r="D68" s="30">
        <v>7405.4</v>
      </c>
      <c r="E68" s="50">
        <f t="shared" si="1"/>
        <v>-6.2998269952612594E-3</v>
      </c>
      <c r="F68" s="34"/>
      <c r="H68" s="35"/>
    </row>
    <row r="69" spans="1:8" x14ac:dyDescent="0.2">
      <c r="A69" s="38">
        <v>44441</v>
      </c>
      <c r="B69" s="29">
        <v>87.42</v>
      </c>
      <c r="C69" s="29">
        <f t="shared" ref="C69:C132" si="2">LN(B69/B68)</f>
        <v>-0.1137330549553813</v>
      </c>
      <c r="D69" s="30">
        <v>6821.2</v>
      </c>
      <c r="E69" s="50">
        <f t="shared" ref="E69:E132" si="3">LN(D69/D68)</f>
        <v>-8.2174054359949872E-2</v>
      </c>
      <c r="F69" s="34"/>
      <c r="H69" s="35"/>
    </row>
    <row r="70" spans="1:8" x14ac:dyDescent="0.2">
      <c r="A70" s="38">
        <v>44442</v>
      </c>
      <c r="B70" s="29">
        <v>87.89</v>
      </c>
      <c r="C70" s="29">
        <f t="shared" si="2"/>
        <v>5.3619431413853731E-3</v>
      </c>
      <c r="D70" s="30">
        <v>6771.2</v>
      </c>
      <c r="E70" s="50">
        <f t="shared" si="3"/>
        <v>-7.3570856548883191E-3</v>
      </c>
      <c r="F70" s="34"/>
      <c r="H70" s="35"/>
    </row>
    <row r="71" spans="1:8" x14ac:dyDescent="0.2">
      <c r="A71" s="38">
        <v>44443</v>
      </c>
      <c r="B71" s="29">
        <v>87.13</v>
      </c>
      <c r="C71" s="29">
        <f t="shared" si="2"/>
        <v>-8.6847763333584432E-3</v>
      </c>
      <c r="D71" s="30">
        <v>6995.2</v>
      </c>
      <c r="E71" s="50">
        <f t="shared" si="3"/>
        <v>3.2545875758293853E-2</v>
      </c>
      <c r="F71" s="34"/>
      <c r="H71" s="35"/>
    </row>
    <row r="72" spans="1:8" x14ac:dyDescent="0.2">
      <c r="A72" s="38">
        <v>44445</v>
      </c>
      <c r="B72" s="29">
        <v>101.08</v>
      </c>
      <c r="C72" s="29">
        <f t="shared" si="2"/>
        <v>0.14851102627679802</v>
      </c>
      <c r="D72" s="30">
        <v>7270.2</v>
      </c>
      <c r="E72" s="50">
        <f t="shared" si="3"/>
        <v>3.8559601923367139E-2</v>
      </c>
      <c r="F72" s="34"/>
      <c r="H72" s="35"/>
    </row>
    <row r="73" spans="1:8" x14ac:dyDescent="0.2">
      <c r="A73" s="38">
        <v>44446</v>
      </c>
      <c r="B73" s="29">
        <v>98.59</v>
      </c>
      <c r="C73" s="29">
        <f t="shared" si="2"/>
        <v>-2.4942445933043487E-2</v>
      </c>
      <c r="D73" s="30">
        <v>7273.3</v>
      </c>
      <c r="E73" s="50">
        <f t="shared" si="3"/>
        <v>4.2630729149773807E-4</v>
      </c>
      <c r="F73" s="34"/>
      <c r="H73" s="35"/>
    </row>
    <row r="74" spans="1:8" x14ac:dyDescent="0.2">
      <c r="A74" s="38">
        <v>44447</v>
      </c>
      <c r="B74" s="29">
        <v>104.94</v>
      </c>
      <c r="C74" s="29">
        <f t="shared" si="2"/>
        <v>6.2418921671615731E-2</v>
      </c>
      <c r="D74" s="30">
        <v>7538.4</v>
      </c>
      <c r="E74" s="50">
        <f t="shared" si="3"/>
        <v>3.5799849135516822E-2</v>
      </c>
      <c r="F74" s="34"/>
      <c r="H74" s="35"/>
    </row>
    <row r="75" spans="1:8" x14ac:dyDescent="0.2">
      <c r="A75" s="38">
        <v>44448</v>
      </c>
      <c r="B75" s="29">
        <v>100.55</v>
      </c>
      <c r="C75" s="29">
        <f t="shared" si="2"/>
        <v>-4.2733642039904658E-2</v>
      </c>
      <c r="D75" s="30">
        <v>7369.5</v>
      </c>
      <c r="E75" s="50">
        <f t="shared" si="3"/>
        <v>-2.2660096615733798E-2</v>
      </c>
      <c r="F75" s="34"/>
      <c r="H75" s="35"/>
    </row>
    <row r="76" spans="1:8" x14ac:dyDescent="0.2">
      <c r="A76" s="38">
        <v>44450</v>
      </c>
      <c r="B76" s="29">
        <v>108.81</v>
      </c>
      <c r="C76" s="29">
        <f t="shared" si="2"/>
        <v>7.8948125744259703E-2</v>
      </c>
      <c r="D76" s="30">
        <v>7434.2</v>
      </c>
      <c r="E76" s="50">
        <f t="shared" si="3"/>
        <v>8.741113635228363E-3</v>
      </c>
      <c r="F76" s="34"/>
      <c r="H76" s="35"/>
    </row>
    <row r="77" spans="1:8" x14ac:dyDescent="0.2">
      <c r="A77" s="38">
        <v>44451</v>
      </c>
      <c r="B77" s="29">
        <v>98.16</v>
      </c>
      <c r="C77" s="29">
        <f t="shared" si="2"/>
        <v>-0.10300444156026473</v>
      </c>
      <c r="D77" s="30">
        <v>7384.5</v>
      </c>
      <c r="E77" s="50">
        <f t="shared" si="3"/>
        <v>-6.7077660456759123E-3</v>
      </c>
      <c r="F77" s="34"/>
      <c r="H77" s="35"/>
    </row>
    <row r="78" spans="1:8" x14ac:dyDescent="0.2">
      <c r="A78" s="38">
        <v>44471</v>
      </c>
      <c r="B78" s="29">
        <v>86.12</v>
      </c>
      <c r="C78" s="29">
        <f t="shared" si="2"/>
        <v>-0.13085712790649356</v>
      </c>
      <c r="D78" s="30">
        <v>6856.9</v>
      </c>
      <c r="E78" s="50">
        <f t="shared" si="3"/>
        <v>-7.4127764325501985E-2</v>
      </c>
      <c r="F78" s="34"/>
      <c r="H78" s="35"/>
    </row>
    <row r="79" spans="1:8" x14ac:dyDescent="0.2">
      <c r="A79" s="38">
        <v>44472</v>
      </c>
      <c r="B79" s="29">
        <v>86.72</v>
      </c>
      <c r="C79" s="29">
        <f t="shared" si="2"/>
        <v>6.9428651951736857E-3</v>
      </c>
      <c r="D79" s="30">
        <v>6714.1</v>
      </c>
      <c r="E79" s="50">
        <f t="shared" si="3"/>
        <v>-2.104565186098183E-2</v>
      </c>
      <c r="F79" s="34"/>
      <c r="H79" s="35"/>
    </row>
    <row r="80" spans="1:8" x14ac:dyDescent="0.2">
      <c r="A80" s="38">
        <v>44474</v>
      </c>
      <c r="B80" s="29">
        <v>95.15</v>
      </c>
      <c r="C80" s="29">
        <f t="shared" si="2"/>
        <v>9.2770056050822544E-2</v>
      </c>
      <c r="D80" s="30">
        <v>7172.8</v>
      </c>
      <c r="E80" s="50">
        <f t="shared" si="3"/>
        <v>6.608630172129383E-2</v>
      </c>
      <c r="F80" s="34"/>
      <c r="H80" s="35"/>
    </row>
    <row r="81" spans="1:8" x14ac:dyDescent="0.2">
      <c r="A81" s="38">
        <v>44475</v>
      </c>
      <c r="B81" s="29">
        <v>101.85</v>
      </c>
      <c r="C81" s="29">
        <f t="shared" si="2"/>
        <v>6.8046548930656245E-2</v>
      </c>
      <c r="D81" s="30">
        <v>7302.5</v>
      </c>
      <c r="E81" s="50">
        <f t="shared" si="3"/>
        <v>1.7920660860721058E-2</v>
      </c>
      <c r="F81" s="34"/>
      <c r="H81" s="35"/>
    </row>
    <row r="82" spans="1:8" x14ac:dyDescent="0.2">
      <c r="A82" s="38">
        <v>44477</v>
      </c>
      <c r="B82" s="29">
        <v>106.56</v>
      </c>
      <c r="C82" s="29">
        <f t="shared" si="2"/>
        <v>4.5207064119264236E-2</v>
      </c>
      <c r="D82" s="30">
        <v>7562.6</v>
      </c>
      <c r="E82" s="50">
        <f t="shared" si="3"/>
        <v>3.4998291130271794E-2</v>
      </c>
      <c r="F82" s="34"/>
      <c r="H82" s="35"/>
    </row>
    <row r="83" spans="1:8" x14ac:dyDescent="0.2">
      <c r="A83" s="38">
        <v>44478</v>
      </c>
      <c r="B83" s="29">
        <v>101.09</v>
      </c>
      <c r="C83" s="29">
        <f t="shared" si="2"/>
        <v>-5.2696997626112747E-2</v>
      </c>
      <c r="D83" s="30">
        <v>7406.6</v>
      </c>
      <c r="E83" s="50">
        <f t="shared" si="3"/>
        <v>-2.0843551807254921E-2</v>
      </c>
      <c r="F83" s="34"/>
      <c r="H83" s="35"/>
    </row>
    <row r="84" spans="1:8" x14ac:dyDescent="0.2">
      <c r="A84" s="38">
        <v>44480</v>
      </c>
      <c r="B84" s="29">
        <v>108.91</v>
      </c>
      <c r="C84" s="29">
        <f t="shared" si="2"/>
        <v>7.4510643921628872E-2</v>
      </c>
      <c r="D84" s="30">
        <v>7423.9</v>
      </c>
      <c r="E84" s="50">
        <f t="shared" si="3"/>
        <v>2.3330309628184142E-3</v>
      </c>
      <c r="F84" s="34"/>
      <c r="H84" s="35"/>
    </row>
    <row r="85" spans="1:8" x14ac:dyDescent="0.2">
      <c r="A85" s="38">
        <v>44481</v>
      </c>
      <c r="B85" s="29">
        <v>97.9</v>
      </c>
      <c r="C85" s="29">
        <f t="shared" si="2"/>
        <v>-0.1065753035511303</v>
      </c>
      <c r="D85" s="30">
        <v>7353.5</v>
      </c>
      <c r="E85" s="50">
        <f t="shared" si="3"/>
        <v>-9.5281352073628648E-3</v>
      </c>
      <c r="F85" s="34"/>
      <c r="H85" s="35"/>
    </row>
    <row r="86" spans="1:8" x14ac:dyDescent="0.2">
      <c r="A86" s="38">
        <v>44501</v>
      </c>
      <c r="B86" s="29">
        <v>85.16</v>
      </c>
      <c r="C86" s="29">
        <f t="shared" si="2"/>
        <v>-0.13941470951118612</v>
      </c>
      <c r="D86" s="30">
        <v>6697.2</v>
      </c>
      <c r="E86" s="50">
        <f t="shared" si="3"/>
        <v>-9.348686175798028E-2</v>
      </c>
      <c r="F86" s="34"/>
      <c r="H86" s="35"/>
    </row>
    <row r="87" spans="1:8" x14ac:dyDescent="0.2">
      <c r="A87" s="38">
        <v>44502</v>
      </c>
      <c r="B87" s="29">
        <v>87.05</v>
      </c>
      <c r="C87" s="29">
        <f t="shared" si="2"/>
        <v>2.1950826188919258E-2</v>
      </c>
      <c r="D87" s="30">
        <v>6850.1</v>
      </c>
      <c r="E87" s="50">
        <f t="shared" si="3"/>
        <v>2.2573722107471234E-2</v>
      </c>
      <c r="F87" s="34"/>
      <c r="H87" s="35"/>
    </row>
    <row r="88" spans="1:8" x14ac:dyDescent="0.2">
      <c r="A88" s="38">
        <v>44503</v>
      </c>
      <c r="B88" s="29">
        <v>86.45</v>
      </c>
      <c r="C88" s="29">
        <f t="shared" si="2"/>
        <v>-6.9164540848984987E-3</v>
      </c>
      <c r="D88" s="30">
        <v>6713.9</v>
      </c>
      <c r="E88" s="50">
        <f t="shared" si="3"/>
        <v>-2.008324651161884E-2</v>
      </c>
      <c r="F88" s="34"/>
      <c r="H88" s="35"/>
    </row>
    <row r="89" spans="1:8" x14ac:dyDescent="0.2">
      <c r="A89" s="38">
        <v>44505</v>
      </c>
      <c r="B89" s="29">
        <v>94.58</v>
      </c>
      <c r="C89" s="29">
        <f t="shared" si="2"/>
        <v>8.9879825086430179E-2</v>
      </c>
      <c r="D89" s="30">
        <v>7097</v>
      </c>
      <c r="E89" s="50">
        <f t="shared" si="3"/>
        <v>5.5492155346742282E-2</v>
      </c>
      <c r="F89" s="34"/>
      <c r="H89" s="35"/>
    </row>
    <row r="90" spans="1:8" x14ac:dyDescent="0.2">
      <c r="A90" s="38">
        <v>44506</v>
      </c>
      <c r="B90" s="29">
        <v>101.36</v>
      </c>
      <c r="C90" s="29">
        <f t="shared" si="2"/>
        <v>6.9232498797153944E-2</v>
      </c>
      <c r="D90" s="30">
        <v>7312.3</v>
      </c>
      <c r="E90" s="50">
        <f t="shared" si="3"/>
        <v>2.9885702213748803E-2</v>
      </c>
      <c r="F90" s="34"/>
      <c r="H90" s="35"/>
    </row>
    <row r="91" spans="1:8" x14ac:dyDescent="0.2">
      <c r="A91" s="38">
        <v>44508</v>
      </c>
      <c r="B91" s="29">
        <v>108.17</v>
      </c>
      <c r="C91" s="29">
        <f t="shared" si="2"/>
        <v>6.5025527629314558E-2</v>
      </c>
      <c r="D91" s="30">
        <v>7584.3</v>
      </c>
      <c r="E91" s="50">
        <f t="shared" si="3"/>
        <v>3.6522459375795395E-2</v>
      </c>
      <c r="F91" s="34"/>
      <c r="H91" s="35"/>
    </row>
    <row r="92" spans="1:8" x14ac:dyDescent="0.2">
      <c r="A92" s="38">
        <v>44510</v>
      </c>
      <c r="B92" s="29">
        <v>104.69</v>
      </c>
      <c r="C92" s="29">
        <f t="shared" si="2"/>
        <v>-3.2700461310934646E-2</v>
      </c>
      <c r="D92" s="30">
        <v>7299.8</v>
      </c>
      <c r="E92" s="50">
        <f t="shared" si="3"/>
        <v>-3.8233370613630288E-2</v>
      </c>
      <c r="F92" s="34"/>
      <c r="H92" s="35"/>
    </row>
    <row r="93" spans="1:8" x14ac:dyDescent="0.2">
      <c r="A93" s="38">
        <v>44511</v>
      </c>
      <c r="B93" s="29">
        <v>107.17</v>
      </c>
      <c r="C93" s="29">
        <f t="shared" si="2"/>
        <v>2.3412756393642153E-2</v>
      </c>
      <c r="D93" s="30">
        <v>7381.9</v>
      </c>
      <c r="E93" s="50">
        <f t="shared" si="3"/>
        <v>1.118410753292012E-2</v>
      </c>
      <c r="F93" s="34"/>
      <c r="H93" s="35"/>
    </row>
    <row r="94" spans="1:8" x14ac:dyDescent="0.2">
      <c r="A94" s="38">
        <v>44531</v>
      </c>
      <c r="B94" s="29">
        <v>85.88</v>
      </c>
      <c r="C94" s="29">
        <f t="shared" si="2"/>
        <v>-0.22146538571432553</v>
      </c>
      <c r="D94" s="30">
        <v>6679.1</v>
      </c>
      <c r="E94" s="50">
        <f t="shared" si="3"/>
        <v>-0.10004781011902196</v>
      </c>
      <c r="F94" s="34"/>
      <c r="H94" s="35"/>
    </row>
    <row r="95" spans="1:8" x14ac:dyDescent="0.2">
      <c r="A95" s="38">
        <v>44532</v>
      </c>
      <c r="B95" s="29">
        <v>86.87</v>
      </c>
      <c r="C95" s="29">
        <f t="shared" si="2"/>
        <v>1.1461775261249078E-2</v>
      </c>
      <c r="D95" s="30">
        <v>6806.7</v>
      </c>
      <c r="E95" s="50">
        <f t="shared" si="3"/>
        <v>1.8924173283408341E-2</v>
      </c>
      <c r="F95" s="34"/>
      <c r="H95" s="35"/>
    </row>
    <row r="96" spans="1:8" x14ac:dyDescent="0.2">
      <c r="A96" s="38">
        <v>44533</v>
      </c>
      <c r="B96" s="29">
        <v>86.49</v>
      </c>
      <c r="C96" s="29">
        <f t="shared" si="2"/>
        <v>-4.3839479534087053E-3</v>
      </c>
      <c r="D96" s="30">
        <v>6766.8</v>
      </c>
      <c r="E96" s="50">
        <f t="shared" si="3"/>
        <v>-5.879119597066447E-3</v>
      </c>
      <c r="F96" s="34"/>
      <c r="H96" s="35"/>
    </row>
    <row r="97" spans="1:8" x14ac:dyDescent="0.2">
      <c r="A97" s="38">
        <v>44534</v>
      </c>
      <c r="B97" s="29">
        <v>86.72</v>
      </c>
      <c r="C97" s="29">
        <f t="shared" si="2"/>
        <v>2.655737372915701E-3</v>
      </c>
      <c r="D97" s="30">
        <v>6974</v>
      </c>
      <c r="E97" s="50">
        <f t="shared" si="3"/>
        <v>3.0160646634459613E-2</v>
      </c>
      <c r="F97" s="34"/>
      <c r="H97" s="35"/>
    </row>
    <row r="98" spans="1:8" x14ac:dyDescent="0.2">
      <c r="A98" s="38">
        <v>44535</v>
      </c>
      <c r="B98" s="29">
        <v>95.57</v>
      </c>
      <c r="C98" s="29">
        <f t="shared" si="2"/>
        <v>9.7174425586752072E-2</v>
      </c>
      <c r="D98" s="30">
        <v>7044.9</v>
      </c>
      <c r="E98" s="50">
        <f t="shared" si="3"/>
        <v>1.0115002532282707E-2</v>
      </c>
      <c r="F98" s="34"/>
      <c r="H98" s="35"/>
    </row>
    <row r="99" spans="1:8" x14ac:dyDescent="0.2">
      <c r="A99" s="38">
        <v>44537</v>
      </c>
      <c r="B99" s="29">
        <v>99.17</v>
      </c>
      <c r="C99" s="29">
        <f t="shared" si="2"/>
        <v>3.6976585919945543E-2</v>
      </c>
      <c r="D99" s="30">
        <v>7333.5</v>
      </c>
      <c r="E99" s="50">
        <f t="shared" si="3"/>
        <v>4.0148940918930641E-2</v>
      </c>
      <c r="F99" s="34"/>
      <c r="H99" s="35"/>
    </row>
    <row r="100" spans="1:8" x14ac:dyDescent="0.2">
      <c r="A100" s="38">
        <v>44538</v>
      </c>
      <c r="B100" s="29">
        <v>105.88</v>
      </c>
      <c r="C100" s="29">
        <f t="shared" si="2"/>
        <v>6.5470828160866759E-2</v>
      </c>
      <c r="D100" s="30">
        <v>7588.2</v>
      </c>
      <c r="E100" s="50">
        <f t="shared" si="3"/>
        <v>3.4141517427175715E-2</v>
      </c>
      <c r="F100" s="34"/>
      <c r="H100" s="35"/>
    </row>
    <row r="101" spans="1:8" x14ac:dyDescent="0.2">
      <c r="A101" s="38">
        <v>44540</v>
      </c>
      <c r="B101" s="29">
        <v>104.89</v>
      </c>
      <c r="C101" s="29">
        <f t="shared" si="2"/>
        <v>-9.394195385387976E-3</v>
      </c>
      <c r="D101" s="30">
        <v>7280.7</v>
      </c>
      <c r="E101" s="50">
        <f t="shared" si="3"/>
        <v>-4.1367397699584897E-2</v>
      </c>
      <c r="F101" s="34"/>
      <c r="H101" s="35"/>
    </row>
    <row r="102" spans="1:8" x14ac:dyDescent="0.2">
      <c r="A102" s="38">
        <v>44541</v>
      </c>
      <c r="B102" s="29">
        <v>108.12</v>
      </c>
      <c r="C102" s="29">
        <f t="shared" si="2"/>
        <v>3.0329539434734452E-2</v>
      </c>
      <c r="D102" s="30">
        <v>7443</v>
      </c>
      <c r="E102" s="50">
        <f t="shared" si="3"/>
        <v>2.2046981945509959E-2</v>
      </c>
      <c r="F102" s="34"/>
      <c r="H102" s="35"/>
    </row>
    <row r="103" spans="1:8" x14ac:dyDescent="0.2">
      <c r="A103" s="38">
        <v>44563</v>
      </c>
      <c r="B103" s="29">
        <v>93.93</v>
      </c>
      <c r="C103" s="29">
        <f t="shared" si="2"/>
        <v>-0.14069189740182278</v>
      </c>
      <c r="D103" s="30">
        <v>7006</v>
      </c>
      <c r="E103" s="50">
        <f t="shared" si="3"/>
        <v>-6.0507068602478613E-2</v>
      </c>
      <c r="F103" s="34"/>
      <c r="H103" s="35"/>
    </row>
    <row r="104" spans="1:8" x14ac:dyDescent="0.2">
      <c r="A104" s="38">
        <v>44564</v>
      </c>
      <c r="B104" s="29">
        <v>94.82</v>
      </c>
      <c r="C104" s="29">
        <f t="shared" si="2"/>
        <v>9.4305334675480502E-3</v>
      </c>
      <c r="D104" s="30">
        <v>7096.5</v>
      </c>
      <c r="E104" s="50">
        <f t="shared" si="3"/>
        <v>1.2834779981880234E-2</v>
      </c>
      <c r="F104" s="34"/>
      <c r="H104" s="35"/>
    </row>
    <row r="105" spans="1:8" x14ac:dyDescent="0.2">
      <c r="A105" s="38">
        <v>44565</v>
      </c>
      <c r="B105" s="29">
        <v>104.53</v>
      </c>
      <c r="C105" s="29">
        <f t="shared" si="2"/>
        <v>9.7493754070643548E-2</v>
      </c>
      <c r="D105" s="30">
        <v>7493.8</v>
      </c>
      <c r="E105" s="50">
        <f t="shared" si="3"/>
        <v>5.4474307241108383E-2</v>
      </c>
      <c r="F105" s="34"/>
      <c r="H105" s="35"/>
    </row>
    <row r="106" spans="1:8" x14ac:dyDescent="0.2">
      <c r="A106" s="38">
        <v>44567</v>
      </c>
      <c r="B106" s="29">
        <v>106.71</v>
      </c>
      <c r="C106" s="29">
        <f t="shared" si="2"/>
        <v>2.064076308385767E-2</v>
      </c>
      <c r="D106" s="30">
        <v>7234</v>
      </c>
      <c r="E106" s="50">
        <f t="shared" si="3"/>
        <v>-3.5283878468377612E-2</v>
      </c>
      <c r="F106" s="34"/>
      <c r="H106" s="35"/>
    </row>
    <row r="107" spans="1:8" x14ac:dyDescent="0.2">
      <c r="A107" s="38">
        <v>44568</v>
      </c>
      <c r="B107" s="29">
        <v>90.7</v>
      </c>
      <c r="C107" s="29">
        <f t="shared" si="2"/>
        <v>-0.16255751750738254</v>
      </c>
      <c r="D107" s="30">
        <v>6539.9</v>
      </c>
      <c r="E107" s="50">
        <f t="shared" si="3"/>
        <v>-0.10087025869757778</v>
      </c>
      <c r="F107" s="34"/>
      <c r="H107" s="35"/>
    </row>
    <row r="108" spans="1:8" x14ac:dyDescent="0.2">
      <c r="A108" s="38">
        <v>44569</v>
      </c>
      <c r="B108" s="29">
        <v>101.08</v>
      </c>
      <c r="C108" s="29">
        <f t="shared" si="2"/>
        <v>0.10835492539890246</v>
      </c>
      <c r="D108" s="30">
        <v>6993</v>
      </c>
      <c r="E108" s="50">
        <f t="shared" si="3"/>
        <v>6.6987773889401442E-2</v>
      </c>
      <c r="F108" s="34"/>
      <c r="H108" s="35"/>
    </row>
    <row r="109" spans="1:8" x14ac:dyDescent="0.2">
      <c r="A109" s="38">
        <v>44570</v>
      </c>
      <c r="B109" s="29">
        <v>96.05</v>
      </c>
      <c r="C109" s="29">
        <f t="shared" si="2"/>
        <v>-5.1043393305427863E-2</v>
      </c>
      <c r="D109" s="30">
        <v>6845.6</v>
      </c>
      <c r="E109" s="50">
        <f t="shared" si="3"/>
        <v>-2.1303538600021675E-2</v>
      </c>
      <c r="F109" s="34"/>
      <c r="H109" s="35"/>
    </row>
    <row r="110" spans="1:8" x14ac:dyDescent="0.2">
      <c r="A110" s="38">
        <v>44572</v>
      </c>
      <c r="B110" s="29">
        <v>106.05</v>
      </c>
      <c r="C110" s="29">
        <f t="shared" si="2"/>
        <v>9.9041791796125891E-2</v>
      </c>
      <c r="D110" s="30">
        <v>6976.9</v>
      </c>
      <c r="E110" s="50">
        <f t="shared" si="3"/>
        <v>1.8998581924878681E-2</v>
      </c>
      <c r="F110" s="34"/>
      <c r="H110" s="35"/>
    </row>
    <row r="111" spans="1:8" x14ac:dyDescent="0.2">
      <c r="A111" s="38">
        <v>44573</v>
      </c>
      <c r="B111" s="29">
        <v>108.42</v>
      </c>
      <c r="C111" s="29">
        <f t="shared" si="2"/>
        <v>2.2101892821500754E-2</v>
      </c>
      <c r="D111" s="30">
        <v>7354.4</v>
      </c>
      <c r="E111" s="50">
        <f t="shared" si="3"/>
        <v>5.2694081520820939E-2</v>
      </c>
      <c r="F111" s="34"/>
      <c r="H111" s="35"/>
    </row>
    <row r="112" spans="1:8" x14ac:dyDescent="0.2">
      <c r="A112" s="38">
        <v>44594</v>
      </c>
      <c r="B112" s="29">
        <v>94.74</v>
      </c>
      <c r="C112" s="29">
        <f t="shared" si="2"/>
        <v>-0.1348762763365865</v>
      </c>
      <c r="D112" s="30">
        <v>7087.7</v>
      </c>
      <c r="E112" s="50">
        <f t="shared" si="3"/>
        <v>-3.6937886216791893E-2</v>
      </c>
      <c r="F112" s="34"/>
      <c r="H112" s="35"/>
    </row>
    <row r="113" spans="1:8" x14ac:dyDescent="0.2">
      <c r="A113" s="38">
        <v>44595</v>
      </c>
      <c r="B113" s="29">
        <v>94.7</v>
      </c>
      <c r="C113" s="29">
        <f t="shared" si="2"/>
        <v>-4.2229730357304867E-4</v>
      </c>
      <c r="D113" s="30">
        <v>7116.7</v>
      </c>
      <c r="E113" s="50">
        <f t="shared" si="3"/>
        <v>4.0832474856881268E-3</v>
      </c>
      <c r="F113" s="34"/>
      <c r="H113" s="35"/>
    </row>
    <row r="114" spans="1:8" x14ac:dyDescent="0.2">
      <c r="A114" s="38">
        <v>44597</v>
      </c>
      <c r="B114" s="29">
        <v>102.97</v>
      </c>
      <c r="C114" s="29">
        <f t="shared" si="2"/>
        <v>8.3723683476626787E-2</v>
      </c>
      <c r="D114" s="30">
        <v>7347</v>
      </c>
      <c r="E114" s="50">
        <f t="shared" si="3"/>
        <v>3.1847931801836316E-2</v>
      </c>
      <c r="F114" s="34"/>
      <c r="H114" s="35"/>
    </row>
    <row r="115" spans="1:8" x14ac:dyDescent="0.2">
      <c r="A115" s="38">
        <v>44598</v>
      </c>
      <c r="B115" s="29">
        <v>105.44</v>
      </c>
      <c r="C115" s="29">
        <f t="shared" si="2"/>
        <v>2.3704387085537678E-2</v>
      </c>
      <c r="D115" s="30">
        <v>7175.9</v>
      </c>
      <c r="E115" s="50">
        <f t="shared" si="3"/>
        <v>-2.3563877318765511E-2</v>
      </c>
      <c r="F115" s="34"/>
      <c r="H115" s="35"/>
    </row>
    <row r="116" spans="1:8" x14ac:dyDescent="0.2">
      <c r="A116" s="38">
        <v>44600</v>
      </c>
      <c r="B116" s="29">
        <v>101.97</v>
      </c>
      <c r="C116" s="29">
        <f t="shared" si="2"/>
        <v>-3.3463418378062791E-2</v>
      </c>
      <c r="D116" s="30">
        <v>6998.1</v>
      </c>
      <c r="E116" s="50">
        <f t="shared" si="3"/>
        <v>-2.5089505678891906E-2</v>
      </c>
      <c r="F116" s="34"/>
      <c r="H116" s="35"/>
    </row>
    <row r="117" spans="1:8" x14ac:dyDescent="0.2">
      <c r="A117" s="38">
        <v>44601</v>
      </c>
      <c r="B117" s="29">
        <v>96.95</v>
      </c>
      <c r="C117" s="29">
        <f t="shared" si="2"/>
        <v>-5.048327068747345E-2</v>
      </c>
      <c r="D117" s="30">
        <v>6828.7</v>
      </c>
      <c r="E117" s="50">
        <f t="shared" si="3"/>
        <v>-2.4504364923756305E-2</v>
      </c>
      <c r="F117" s="34"/>
      <c r="H117" s="35"/>
    </row>
    <row r="118" spans="1:8" x14ac:dyDescent="0.2">
      <c r="A118" s="38">
        <v>44603</v>
      </c>
      <c r="B118" s="29">
        <v>105.97</v>
      </c>
      <c r="C118" s="29">
        <f t="shared" si="2"/>
        <v>8.8960653498083728E-2</v>
      </c>
      <c r="D118" s="30">
        <v>6986.7</v>
      </c>
      <c r="E118" s="50">
        <f t="shared" si="3"/>
        <v>2.2874023048990277E-2</v>
      </c>
      <c r="F118" s="34"/>
      <c r="H118" s="35"/>
    </row>
    <row r="119" spans="1:8" x14ac:dyDescent="0.2">
      <c r="A119" s="38">
        <v>44604</v>
      </c>
      <c r="B119" s="29">
        <v>106.95</v>
      </c>
      <c r="C119" s="29">
        <f t="shared" si="2"/>
        <v>9.205400341670035E-3</v>
      </c>
      <c r="D119" s="30">
        <v>7301.5</v>
      </c>
      <c r="E119" s="50">
        <f t="shared" si="3"/>
        <v>4.4071464732672122E-2</v>
      </c>
      <c r="F119" s="34"/>
      <c r="H119" s="35"/>
    </row>
    <row r="120" spans="1:8" x14ac:dyDescent="0.2">
      <c r="A120" s="38">
        <v>44622</v>
      </c>
      <c r="B120" s="29">
        <v>93.44</v>
      </c>
      <c r="C120" s="29">
        <f t="shared" si="2"/>
        <v>-0.13504191644849778</v>
      </c>
      <c r="D120" s="30">
        <v>7078</v>
      </c>
      <c r="E120" s="50">
        <f t="shared" si="3"/>
        <v>-3.1088424575117502E-2</v>
      </c>
      <c r="F120" s="34"/>
      <c r="H120" s="35"/>
    </row>
    <row r="121" spans="1:8" x14ac:dyDescent="0.2">
      <c r="A121" s="38">
        <v>44623</v>
      </c>
      <c r="B121" s="29">
        <v>94.51</v>
      </c>
      <c r="C121" s="29">
        <f t="shared" si="2"/>
        <v>1.1386129927047925E-2</v>
      </c>
      <c r="D121" s="30">
        <v>7151.4</v>
      </c>
      <c r="E121" s="50">
        <f t="shared" si="3"/>
        <v>1.0316759811309169E-2</v>
      </c>
      <c r="F121" s="34"/>
      <c r="H121" s="35"/>
    </row>
    <row r="122" spans="1:8" x14ac:dyDescent="0.2">
      <c r="A122" s="38">
        <v>44625</v>
      </c>
      <c r="B122" s="29">
        <v>102.26</v>
      </c>
      <c r="C122" s="29">
        <f t="shared" si="2"/>
        <v>7.8812940644888405E-2</v>
      </c>
      <c r="D122" s="30">
        <v>7316.2</v>
      </c>
      <c r="E122" s="50">
        <f t="shared" si="3"/>
        <v>2.2782925763190416E-2</v>
      </c>
      <c r="F122" s="34"/>
      <c r="H122" s="35"/>
    </row>
    <row r="123" spans="1:8" x14ac:dyDescent="0.2">
      <c r="A123" s="38">
        <v>44626</v>
      </c>
      <c r="B123" s="29">
        <v>105.2</v>
      </c>
      <c r="C123" s="29">
        <f t="shared" si="2"/>
        <v>2.834471065175628E-2</v>
      </c>
      <c r="D123" s="30">
        <v>7238.8</v>
      </c>
      <c r="E123" s="50">
        <f t="shared" si="3"/>
        <v>-1.0635620693862173E-2</v>
      </c>
      <c r="F123" s="34"/>
      <c r="H123" s="35"/>
    </row>
    <row r="124" spans="1:8" x14ac:dyDescent="0.2">
      <c r="A124" s="38">
        <v>44628</v>
      </c>
      <c r="B124" s="29">
        <v>100.47</v>
      </c>
      <c r="C124" s="29">
        <f t="shared" si="2"/>
        <v>-4.6004124829386574E-2</v>
      </c>
      <c r="D124" s="30">
        <v>6975.9</v>
      </c>
      <c r="E124" s="50">
        <f t="shared" si="3"/>
        <v>-3.6994095162361011E-2</v>
      </c>
      <c r="F124" s="34"/>
      <c r="H124" s="35"/>
    </row>
    <row r="125" spans="1:8" x14ac:dyDescent="0.2">
      <c r="A125" s="38">
        <v>44630</v>
      </c>
      <c r="B125" s="29">
        <v>90.61</v>
      </c>
      <c r="C125" s="29">
        <f t="shared" si="2"/>
        <v>-0.1032945932402537</v>
      </c>
      <c r="D125" s="30">
        <v>6456.9</v>
      </c>
      <c r="E125" s="50">
        <f t="shared" si="3"/>
        <v>-7.7312025185441946E-2</v>
      </c>
      <c r="F125" s="34"/>
      <c r="H125" s="35"/>
    </row>
    <row r="126" spans="1:8" x14ac:dyDescent="0.2">
      <c r="A126" s="38">
        <v>44631</v>
      </c>
      <c r="B126" s="29">
        <v>104.5</v>
      </c>
      <c r="C126" s="29">
        <f t="shared" si="2"/>
        <v>0.14262248917089637</v>
      </c>
      <c r="D126" s="30">
        <v>6857.9</v>
      </c>
      <c r="E126" s="50">
        <f t="shared" si="3"/>
        <v>6.0251945967666753E-2</v>
      </c>
      <c r="F126" s="34"/>
      <c r="H126" s="35"/>
    </row>
    <row r="127" spans="1:8" x14ac:dyDescent="0.2">
      <c r="A127" s="38">
        <v>44652</v>
      </c>
      <c r="B127" s="29">
        <v>102.51</v>
      </c>
      <c r="C127" s="29">
        <f t="shared" si="2"/>
        <v>-1.9226716609555463E-2</v>
      </c>
      <c r="D127" s="30">
        <v>7589.8</v>
      </c>
      <c r="E127" s="50">
        <f t="shared" si="3"/>
        <v>0.10140396817545332</v>
      </c>
      <c r="F127" s="34"/>
      <c r="H127" s="35"/>
    </row>
    <row r="128" spans="1:8" x14ac:dyDescent="0.2">
      <c r="A128" s="38">
        <v>44653</v>
      </c>
      <c r="B128" s="29">
        <v>94.1</v>
      </c>
      <c r="C128" s="29">
        <f t="shared" si="2"/>
        <v>-8.5602308203976352E-2</v>
      </c>
      <c r="D128" s="30">
        <v>7120.2</v>
      </c>
      <c r="E128" s="50">
        <f t="shared" si="3"/>
        <v>-6.3869425682214667E-2</v>
      </c>
      <c r="F128" s="34"/>
      <c r="H128" s="35"/>
    </row>
    <row r="129" spans="1:8" x14ac:dyDescent="0.2">
      <c r="A129" s="38">
        <v>44654</v>
      </c>
      <c r="B129" s="29">
        <v>94.6</v>
      </c>
      <c r="C129" s="29">
        <f t="shared" si="2"/>
        <v>5.2994294664985928E-3</v>
      </c>
      <c r="D129" s="30">
        <v>7110.8</v>
      </c>
      <c r="E129" s="50">
        <f t="shared" si="3"/>
        <v>-1.3210598506179611E-3</v>
      </c>
      <c r="F129" s="34"/>
      <c r="H129" s="35"/>
    </row>
    <row r="130" spans="1:8" x14ac:dyDescent="0.2">
      <c r="A130" s="38">
        <v>44655</v>
      </c>
      <c r="B130" s="29">
        <v>103.72</v>
      </c>
      <c r="C130" s="29">
        <f t="shared" si="2"/>
        <v>9.2037484612631143E-2</v>
      </c>
      <c r="D130" s="30">
        <v>7513.7</v>
      </c>
      <c r="E130" s="50">
        <f t="shared" si="3"/>
        <v>5.5113265815889406E-2</v>
      </c>
      <c r="F130" s="34"/>
      <c r="H130" s="35"/>
    </row>
    <row r="131" spans="1:8" x14ac:dyDescent="0.2">
      <c r="A131" s="38">
        <v>44656</v>
      </c>
      <c r="B131" s="29">
        <v>102.98</v>
      </c>
      <c r="C131" s="29">
        <f t="shared" si="2"/>
        <v>-7.1601660524682441E-3</v>
      </c>
      <c r="D131" s="30">
        <v>7304.7</v>
      </c>
      <c r="E131" s="50">
        <f t="shared" si="3"/>
        <v>-2.821004428473068E-2</v>
      </c>
      <c r="F131" s="34"/>
      <c r="H131" s="35"/>
    </row>
    <row r="132" spans="1:8" x14ac:dyDescent="0.2">
      <c r="A132" s="38">
        <v>44658</v>
      </c>
      <c r="B132" s="29">
        <v>91.45</v>
      </c>
      <c r="C132" s="29">
        <f t="shared" si="2"/>
        <v>-0.11874241978112055</v>
      </c>
      <c r="D132" s="30">
        <v>6612.6</v>
      </c>
      <c r="E132" s="50">
        <f t="shared" si="3"/>
        <v>-9.9541056654137872E-2</v>
      </c>
      <c r="F132" s="34"/>
      <c r="H132" s="35"/>
    </row>
    <row r="133" spans="1:8" x14ac:dyDescent="0.2">
      <c r="A133" s="38">
        <v>44659</v>
      </c>
      <c r="B133" s="29">
        <v>101.8</v>
      </c>
      <c r="C133" s="29">
        <f t="shared" ref="C133:C196" si="4">LN(B133/B132)</f>
        <v>0.10721772927954763</v>
      </c>
      <c r="D133" s="30">
        <v>6974.9</v>
      </c>
      <c r="E133" s="50">
        <f t="shared" ref="E133:E196" si="5">LN(D133/D132)</f>
        <v>5.3341070743677783E-2</v>
      </c>
      <c r="F133" s="34"/>
      <c r="H133" s="35"/>
    </row>
    <row r="134" spans="1:8" x14ac:dyDescent="0.2">
      <c r="A134" s="38">
        <v>44661</v>
      </c>
      <c r="B134" s="29">
        <v>94.79</v>
      </c>
      <c r="C134" s="29">
        <f t="shared" si="4"/>
        <v>-7.1346185651472077E-2</v>
      </c>
      <c r="D134" s="30">
        <v>6699.3</v>
      </c>
      <c r="E134" s="50">
        <f t="shared" si="5"/>
        <v>-4.0314947360277714E-2</v>
      </c>
      <c r="F134" s="34"/>
      <c r="H134" s="35"/>
    </row>
    <row r="135" spans="1:8" x14ac:dyDescent="0.2">
      <c r="A135" s="38">
        <v>44662</v>
      </c>
      <c r="B135" s="29">
        <v>103.05</v>
      </c>
      <c r="C135" s="29">
        <f t="shared" si="4"/>
        <v>8.3550388871517625E-2</v>
      </c>
      <c r="D135" s="30">
        <v>6892.5</v>
      </c>
      <c r="E135" s="50">
        <f t="shared" si="5"/>
        <v>2.8430820589000424E-2</v>
      </c>
      <c r="F135" s="34"/>
      <c r="H135" s="35"/>
    </row>
    <row r="136" spans="1:8" x14ac:dyDescent="0.2">
      <c r="A136" s="38">
        <v>44682</v>
      </c>
      <c r="B136" s="29">
        <v>103.2</v>
      </c>
      <c r="C136" s="29">
        <f t="shared" si="4"/>
        <v>1.4545457109943617E-3</v>
      </c>
      <c r="D136" s="30">
        <v>7565.8</v>
      </c>
      <c r="E136" s="50">
        <f t="shared" si="5"/>
        <v>9.3204227898584624E-2</v>
      </c>
      <c r="F136" s="34"/>
      <c r="H136" s="35"/>
    </row>
    <row r="137" spans="1:8" x14ac:dyDescent="0.2">
      <c r="A137" s="38">
        <v>44685</v>
      </c>
      <c r="B137" s="29">
        <v>104.36</v>
      </c>
      <c r="C137" s="29">
        <f t="shared" si="4"/>
        <v>1.1177607221065299E-2</v>
      </c>
      <c r="D137" s="30">
        <v>7527.9</v>
      </c>
      <c r="E137" s="50">
        <f t="shared" si="5"/>
        <v>-5.0219733602519566E-3</v>
      </c>
      <c r="F137" s="34"/>
      <c r="H137" s="35"/>
    </row>
    <row r="138" spans="1:8" x14ac:dyDescent="0.2">
      <c r="A138" s="38">
        <v>44686</v>
      </c>
      <c r="B138" s="29">
        <v>103.71</v>
      </c>
      <c r="C138" s="29">
        <f t="shared" si="4"/>
        <v>-6.2479176668849079E-3</v>
      </c>
      <c r="D138" s="30">
        <v>7364.7</v>
      </c>
      <c r="E138" s="50">
        <f t="shared" si="5"/>
        <v>-2.1917802566729049E-2</v>
      </c>
      <c r="F138" s="34"/>
      <c r="H138" s="35"/>
    </row>
    <row r="139" spans="1:8" x14ac:dyDescent="0.2">
      <c r="A139" s="38">
        <v>44688</v>
      </c>
      <c r="B139" s="29">
        <v>91.23</v>
      </c>
      <c r="C139" s="29">
        <f t="shared" si="4"/>
        <v>-0.12821475224425985</v>
      </c>
      <c r="D139" s="30">
        <v>6629.3</v>
      </c>
      <c r="E139" s="50">
        <f t="shared" si="5"/>
        <v>-0.105199097957497</v>
      </c>
      <c r="F139" s="34"/>
      <c r="H139" s="35"/>
    </row>
    <row r="140" spans="1:8" x14ac:dyDescent="0.2">
      <c r="A140" s="38">
        <v>44689</v>
      </c>
      <c r="B140" s="29">
        <v>101.41</v>
      </c>
      <c r="C140" s="29">
        <f t="shared" si="4"/>
        <v>0.1057879152665219</v>
      </c>
      <c r="D140" s="30">
        <v>7015.6</v>
      </c>
      <c r="E140" s="50">
        <f t="shared" si="5"/>
        <v>5.6637022971924425E-2</v>
      </c>
      <c r="F140" s="34"/>
      <c r="H140" s="35"/>
    </row>
    <row r="141" spans="1:8" x14ac:dyDescent="0.2">
      <c r="A141" s="38">
        <v>44690</v>
      </c>
      <c r="B141" s="29">
        <v>96.51</v>
      </c>
      <c r="C141" s="29">
        <f t="shared" si="4"/>
        <v>-4.9525075704860193E-2</v>
      </c>
      <c r="D141" s="30">
        <v>6852.2</v>
      </c>
      <c r="E141" s="50">
        <f t="shared" si="5"/>
        <v>-2.3566472307864777E-2</v>
      </c>
      <c r="F141" s="34"/>
      <c r="H141" s="35"/>
    </row>
    <row r="142" spans="1:8" x14ac:dyDescent="0.2">
      <c r="A142" s="38">
        <v>44691</v>
      </c>
      <c r="B142" s="29">
        <v>97.29</v>
      </c>
      <c r="C142" s="29">
        <f t="shared" si="4"/>
        <v>8.0495790682917259E-3</v>
      </c>
      <c r="D142" s="30">
        <v>6815.7</v>
      </c>
      <c r="E142" s="50">
        <f t="shared" si="5"/>
        <v>-5.3409941201216886E-3</v>
      </c>
      <c r="F142" s="34"/>
      <c r="H142" s="35"/>
    </row>
    <row r="143" spans="1:8" x14ac:dyDescent="0.2">
      <c r="A143" s="38">
        <v>44693</v>
      </c>
      <c r="B143" s="29">
        <v>106.94</v>
      </c>
      <c r="C143" s="29">
        <f t="shared" si="4"/>
        <v>9.4571720533249123E-2</v>
      </c>
      <c r="D143" s="30">
        <v>7325.6</v>
      </c>
      <c r="E143" s="50">
        <f t="shared" si="5"/>
        <v>7.2146288337526093E-2</v>
      </c>
      <c r="F143" s="34"/>
      <c r="H143" s="35"/>
    </row>
    <row r="144" spans="1:8" x14ac:dyDescent="0.2">
      <c r="A144" s="38">
        <v>44713</v>
      </c>
      <c r="B144" s="29">
        <v>99.97</v>
      </c>
      <c r="C144" s="29">
        <f t="shared" si="4"/>
        <v>-6.7397788541496209E-2</v>
      </c>
      <c r="D144" s="30">
        <v>7358.3</v>
      </c>
      <c r="E144" s="50">
        <f t="shared" si="5"/>
        <v>4.453864988943043E-3</v>
      </c>
      <c r="F144" s="34"/>
      <c r="H144" s="35"/>
    </row>
    <row r="145" spans="1:8" x14ac:dyDescent="0.2">
      <c r="A145" s="38">
        <v>44716</v>
      </c>
      <c r="B145" s="29">
        <v>105.71</v>
      </c>
      <c r="C145" s="29">
        <f t="shared" si="4"/>
        <v>5.5829354801482274E-2</v>
      </c>
      <c r="D145" s="30">
        <v>7490.1</v>
      </c>
      <c r="E145" s="50">
        <f t="shared" si="5"/>
        <v>1.7753220774520587E-2</v>
      </c>
      <c r="F145" s="34"/>
      <c r="H145" s="35"/>
    </row>
    <row r="146" spans="1:8" x14ac:dyDescent="0.2">
      <c r="A146" s="38">
        <v>44717</v>
      </c>
      <c r="B146" s="29">
        <v>102.4</v>
      </c>
      <c r="C146" s="29">
        <f t="shared" si="4"/>
        <v>-3.1812783175164193E-2</v>
      </c>
      <c r="D146" s="30">
        <v>7205.6</v>
      </c>
      <c r="E146" s="50">
        <f t="shared" si="5"/>
        <v>-3.8723647087452955E-2</v>
      </c>
      <c r="F146" s="34"/>
      <c r="H146" s="35"/>
    </row>
    <row r="147" spans="1:8" x14ac:dyDescent="0.2">
      <c r="A147" s="38">
        <v>44718</v>
      </c>
      <c r="B147" s="29">
        <v>104.68</v>
      </c>
      <c r="C147" s="29">
        <f t="shared" si="4"/>
        <v>2.2021365056537654E-2</v>
      </c>
      <c r="D147" s="30">
        <v>7206.3</v>
      </c>
      <c r="E147" s="50">
        <f t="shared" si="5"/>
        <v>9.7141945274532E-5</v>
      </c>
      <c r="F147" s="34"/>
      <c r="H147" s="35"/>
    </row>
    <row r="148" spans="1:8" x14ac:dyDescent="0.2">
      <c r="A148" s="38">
        <v>44719</v>
      </c>
      <c r="B148" s="29">
        <v>92</v>
      </c>
      <c r="C148" s="29">
        <f t="shared" si="4"/>
        <v>-0.12911950061290489</v>
      </c>
      <c r="D148" s="30">
        <v>6594.5</v>
      </c>
      <c r="E148" s="50">
        <f t="shared" si="5"/>
        <v>-8.8719675148868068E-2</v>
      </c>
      <c r="F148" s="34"/>
      <c r="H148" s="35"/>
    </row>
    <row r="149" spans="1:8" x14ac:dyDescent="0.2">
      <c r="A149" s="38">
        <v>44721</v>
      </c>
      <c r="B149" s="29">
        <v>96.11</v>
      </c>
      <c r="C149" s="29">
        <f t="shared" si="4"/>
        <v>4.3704791786152754E-2</v>
      </c>
      <c r="D149" s="30">
        <v>6826.5</v>
      </c>
      <c r="E149" s="50">
        <f t="shared" si="5"/>
        <v>3.4576128858866892E-2</v>
      </c>
      <c r="F149" s="34"/>
      <c r="H149" s="35"/>
    </row>
    <row r="150" spans="1:8" x14ac:dyDescent="0.2">
      <c r="A150" s="38">
        <v>44722</v>
      </c>
      <c r="B150" s="29">
        <v>96.88</v>
      </c>
      <c r="C150" s="29">
        <f t="shared" si="4"/>
        <v>7.9797304096438648E-3</v>
      </c>
      <c r="D150" s="30">
        <v>6817.5</v>
      </c>
      <c r="E150" s="50">
        <f t="shared" si="5"/>
        <v>-1.3192614050626934E-3</v>
      </c>
      <c r="F150" s="34"/>
      <c r="H150" s="35"/>
    </row>
    <row r="151" spans="1:8" x14ac:dyDescent="0.2">
      <c r="A151" s="38">
        <v>44724</v>
      </c>
      <c r="B151" s="29">
        <v>106.44</v>
      </c>
      <c r="C151" s="29">
        <f t="shared" si="4"/>
        <v>9.4108346864651582E-2</v>
      </c>
      <c r="D151" s="30">
        <v>7291.3</v>
      </c>
      <c r="E151" s="50">
        <f t="shared" si="5"/>
        <v>6.7189020859307197E-2</v>
      </c>
      <c r="F151" s="34"/>
      <c r="H151" s="35"/>
    </row>
    <row r="152" spans="1:8" x14ac:dyDescent="0.2">
      <c r="A152" s="38">
        <v>44743</v>
      </c>
      <c r="B152" s="29">
        <v>102.65</v>
      </c>
      <c r="C152" s="29">
        <f t="shared" si="4"/>
        <v>-3.625630264454581E-2</v>
      </c>
      <c r="D152" s="30">
        <v>7453.3</v>
      </c>
      <c r="E152" s="50">
        <f t="shared" si="5"/>
        <v>2.1975030739960093E-2</v>
      </c>
      <c r="F152" s="34"/>
      <c r="H152" s="35"/>
    </row>
    <row r="153" spans="1:8" x14ac:dyDescent="0.2">
      <c r="A153" s="38">
        <v>44744</v>
      </c>
      <c r="B153" s="29">
        <v>94</v>
      </c>
      <c r="C153" s="29">
        <f t="shared" si="4"/>
        <v>-8.8030361194938747E-2</v>
      </c>
      <c r="D153" s="30">
        <v>7110.8</v>
      </c>
      <c r="E153" s="50">
        <f t="shared" si="5"/>
        <v>-4.7042132270480687E-2</v>
      </c>
      <c r="F153" s="34"/>
      <c r="H153" s="35"/>
    </row>
    <row r="154" spans="1:8" x14ac:dyDescent="0.2">
      <c r="A154" s="38">
        <v>44745</v>
      </c>
      <c r="B154" s="29">
        <v>94.64</v>
      </c>
      <c r="C154" s="29">
        <f t="shared" si="4"/>
        <v>6.7854374001273627E-3</v>
      </c>
      <c r="D154" s="30">
        <v>7038.6</v>
      </c>
      <c r="E154" s="50">
        <f t="shared" si="5"/>
        <v>-1.0205468308800683E-2</v>
      </c>
      <c r="F154" s="34"/>
      <c r="H154" s="35"/>
    </row>
    <row r="155" spans="1:8" x14ac:dyDescent="0.2">
      <c r="A155" s="38">
        <v>44746</v>
      </c>
      <c r="B155" s="29">
        <v>105.24</v>
      </c>
      <c r="C155" s="29">
        <f t="shared" si="4"/>
        <v>0.10616323650196052</v>
      </c>
      <c r="D155" s="30">
        <v>7442.8</v>
      </c>
      <c r="E155" s="50">
        <f t="shared" si="5"/>
        <v>5.5837835373756702E-2</v>
      </c>
      <c r="F155" s="34"/>
      <c r="H155" s="35"/>
    </row>
    <row r="156" spans="1:8" x14ac:dyDescent="0.2">
      <c r="A156" s="38">
        <v>44748</v>
      </c>
      <c r="B156" s="29">
        <v>101.96</v>
      </c>
      <c r="C156" s="29">
        <f t="shared" si="4"/>
        <v>-3.1662876664177275E-2</v>
      </c>
      <c r="D156" s="30">
        <v>7095.7</v>
      </c>
      <c r="E156" s="50">
        <f t="shared" si="5"/>
        <v>-4.7758155357128934E-2</v>
      </c>
      <c r="F156" s="34"/>
      <c r="H156" s="35"/>
    </row>
    <row r="157" spans="1:8" x14ac:dyDescent="0.2">
      <c r="A157" s="38">
        <v>44749</v>
      </c>
      <c r="B157" s="29">
        <v>93.08</v>
      </c>
      <c r="C157" s="29">
        <f t="shared" si="4"/>
        <v>-9.1121241073823675E-2</v>
      </c>
      <c r="D157" s="30">
        <v>6648</v>
      </c>
      <c r="E157" s="50">
        <f t="shared" si="5"/>
        <v>-6.5172909221073272E-2</v>
      </c>
      <c r="F157" s="34"/>
      <c r="H157" s="35"/>
    </row>
    <row r="158" spans="1:8" x14ac:dyDescent="0.2">
      <c r="A158" s="38">
        <v>44751</v>
      </c>
      <c r="B158" s="29">
        <v>94.1</v>
      </c>
      <c r="C158" s="29">
        <f t="shared" si="4"/>
        <v>1.0898708157242979E-2</v>
      </c>
      <c r="D158" s="30">
        <v>6729.3</v>
      </c>
      <c r="E158" s="50">
        <f t="shared" si="5"/>
        <v>1.2155068806805074E-2</v>
      </c>
      <c r="F158" s="34"/>
      <c r="H158" s="35"/>
    </row>
    <row r="159" spans="1:8" x14ac:dyDescent="0.2">
      <c r="A159" s="38">
        <v>44752</v>
      </c>
      <c r="B159" s="29">
        <v>96.42</v>
      </c>
      <c r="C159" s="29">
        <f t="shared" si="4"/>
        <v>2.4355602386142296E-2</v>
      </c>
      <c r="D159" s="30">
        <v>6762.8</v>
      </c>
      <c r="E159" s="50">
        <f t="shared" si="5"/>
        <v>4.9658791207221878E-3</v>
      </c>
      <c r="F159" s="34"/>
      <c r="H159" s="35"/>
    </row>
    <row r="160" spans="1:8" x14ac:dyDescent="0.2">
      <c r="A160" s="38">
        <v>44753</v>
      </c>
      <c r="B160" s="29">
        <v>103.08</v>
      </c>
      <c r="C160" s="29">
        <f t="shared" si="4"/>
        <v>6.6791736806688068E-2</v>
      </c>
      <c r="D160" s="30">
        <v>6933.7</v>
      </c>
      <c r="E160" s="50">
        <f t="shared" si="5"/>
        <v>2.4956575775530974E-2</v>
      </c>
      <c r="F160" s="34"/>
      <c r="H160" s="35"/>
    </row>
    <row r="161" spans="1:8" x14ac:dyDescent="0.2">
      <c r="A161" s="38">
        <v>44754</v>
      </c>
      <c r="B161" s="29">
        <v>105.55</v>
      </c>
      <c r="C161" s="29">
        <f t="shared" si="4"/>
        <v>2.3679388510165253E-2</v>
      </c>
      <c r="D161" s="30">
        <v>7229.4</v>
      </c>
      <c r="E161" s="50">
        <f t="shared" si="5"/>
        <v>4.1762463918943338E-2</v>
      </c>
      <c r="F161" s="34"/>
      <c r="H161" s="35"/>
    </row>
    <row r="162" spans="1:8" x14ac:dyDescent="0.2">
      <c r="A162" s="38">
        <v>44775</v>
      </c>
      <c r="B162" s="29">
        <v>94.3</v>
      </c>
      <c r="C162" s="29">
        <f t="shared" si="4"/>
        <v>-0.11270358465491782</v>
      </c>
      <c r="D162" s="30">
        <v>7186.7</v>
      </c>
      <c r="E162" s="50">
        <f t="shared" si="5"/>
        <v>-5.9239495942944786E-3</v>
      </c>
      <c r="F162" s="34"/>
      <c r="H162" s="35"/>
    </row>
    <row r="163" spans="1:8" x14ac:dyDescent="0.2">
      <c r="A163" s="38">
        <v>44776</v>
      </c>
      <c r="B163" s="29">
        <v>95.59</v>
      </c>
      <c r="C163" s="29">
        <f t="shared" si="4"/>
        <v>1.358702243625954E-2</v>
      </c>
      <c r="D163" s="30">
        <v>6980.3</v>
      </c>
      <c r="E163" s="50">
        <f t="shared" si="5"/>
        <v>-2.9140199787490863E-2</v>
      </c>
      <c r="F163" s="34"/>
      <c r="H163" s="35"/>
    </row>
    <row r="164" spans="1:8" x14ac:dyDescent="0.2">
      <c r="A164" s="38">
        <v>44777</v>
      </c>
      <c r="B164" s="29">
        <v>105.38</v>
      </c>
      <c r="C164" s="29">
        <f t="shared" si="4"/>
        <v>9.7504652705468348E-2</v>
      </c>
      <c r="D164" s="30">
        <v>7478</v>
      </c>
      <c r="E164" s="50">
        <f t="shared" si="5"/>
        <v>6.8873480761558706E-2</v>
      </c>
      <c r="F164" s="34"/>
      <c r="H164" s="35"/>
    </row>
    <row r="165" spans="1:8" x14ac:dyDescent="0.2">
      <c r="A165" s="38">
        <v>44779</v>
      </c>
      <c r="B165" s="29">
        <v>97.47</v>
      </c>
      <c r="C165" s="29">
        <f t="shared" si="4"/>
        <v>-7.8028226432021064E-2</v>
      </c>
      <c r="D165" s="30">
        <v>7121.1</v>
      </c>
      <c r="E165" s="50">
        <f t="shared" si="5"/>
        <v>-4.8903168682043099E-2</v>
      </c>
      <c r="F165" s="34"/>
      <c r="H165" s="35"/>
    </row>
    <row r="166" spans="1:8" x14ac:dyDescent="0.2">
      <c r="A166" s="38">
        <v>44780</v>
      </c>
      <c r="B166" s="29">
        <v>92.59</v>
      </c>
      <c r="C166" s="29">
        <f t="shared" si="4"/>
        <v>-5.1363493889162906E-2</v>
      </c>
      <c r="D166" s="30">
        <v>6678</v>
      </c>
      <c r="E166" s="50">
        <f t="shared" si="5"/>
        <v>-6.4243666351416095E-2</v>
      </c>
      <c r="F166" s="34"/>
      <c r="H166" s="35"/>
    </row>
    <row r="167" spans="1:8" x14ac:dyDescent="0.2">
      <c r="A167" s="38">
        <v>44781</v>
      </c>
      <c r="B167" s="29">
        <v>102.6</v>
      </c>
      <c r="C167" s="29">
        <f t="shared" si="4"/>
        <v>0.10265678827671326</v>
      </c>
      <c r="D167" s="30">
        <v>7020.6</v>
      </c>
      <c r="E167" s="50">
        <f t="shared" si="5"/>
        <v>5.003014294936739E-2</v>
      </c>
      <c r="F167" s="34"/>
      <c r="H167" s="35"/>
    </row>
    <row r="168" spans="1:8" x14ac:dyDescent="0.2">
      <c r="A168" s="38">
        <v>44782</v>
      </c>
      <c r="B168" s="29">
        <v>95.21</v>
      </c>
      <c r="C168" s="29">
        <f t="shared" si="4"/>
        <v>-7.475295443906918E-2</v>
      </c>
      <c r="D168" s="30">
        <v>6848.7</v>
      </c>
      <c r="E168" s="50">
        <f t="shared" si="5"/>
        <v>-2.4789831229291022E-2</v>
      </c>
      <c r="F168" s="34"/>
      <c r="H168" s="35"/>
    </row>
    <row r="169" spans="1:8" x14ac:dyDescent="0.2">
      <c r="A169" s="38">
        <v>44784</v>
      </c>
      <c r="B169" s="29">
        <v>104.48</v>
      </c>
      <c r="C169" s="29">
        <f t="shared" si="4"/>
        <v>9.291068723052108E-2</v>
      </c>
      <c r="D169" s="30">
        <v>6958.9</v>
      </c>
      <c r="E169" s="50">
        <f t="shared" si="5"/>
        <v>1.5962562637196098E-2</v>
      </c>
      <c r="F169" s="34"/>
      <c r="H169" s="35"/>
    </row>
    <row r="170" spans="1:8" x14ac:dyDescent="0.2">
      <c r="A170" s="38">
        <v>44785</v>
      </c>
      <c r="B170" s="29">
        <v>105.35</v>
      </c>
      <c r="C170" s="29">
        <f t="shared" si="4"/>
        <v>8.292474722076993E-3</v>
      </c>
      <c r="D170" s="30">
        <v>7175.5</v>
      </c>
      <c r="E170" s="50">
        <f t="shared" si="5"/>
        <v>3.0651029750114286E-2</v>
      </c>
      <c r="F170" s="34"/>
      <c r="H170" s="35"/>
    </row>
    <row r="171" spans="1:8" x14ac:dyDescent="0.2">
      <c r="A171" s="38">
        <v>44806</v>
      </c>
      <c r="B171" s="29">
        <v>99.56</v>
      </c>
      <c r="C171" s="29">
        <f t="shared" si="4"/>
        <v>-5.6527662750806763E-2</v>
      </c>
      <c r="D171" s="30">
        <v>7268.3</v>
      </c>
      <c r="E171" s="50">
        <f t="shared" si="5"/>
        <v>1.2849980883149828E-2</v>
      </c>
      <c r="F171" s="34"/>
      <c r="H171" s="35"/>
    </row>
    <row r="172" spans="1:8" x14ac:dyDescent="0.2">
      <c r="A172" s="38">
        <v>44807</v>
      </c>
      <c r="B172" s="29">
        <v>97.41</v>
      </c>
      <c r="C172" s="29">
        <f t="shared" si="4"/>
        <v>-2.1831602716527069E-2</v>
      </c>
      <c r="D172" s="30">
        <v>7053</v>
      </c>
      <c r="E172" s="50">
        <f t="shared" si="5"/>
        <v>-3.006936828595724E-2</v>
      </c>
      <c r="F172" s="34"/>
      <c r="H172" s="35"/>
    </row>
    <row r="173" spans="1:8" x14ac:dyDescent="0.2">
      <c r="A173" s="38">
        <v>44809</v>
      </c>
      <c r="B173" s="29">
        <v>102.66</v>
      </c>
      <c r="C173" s="29">
        <f t="shared" si="4"/>
        <v>5.2493682349292817E-2</v>
      </c>
      <c r="D173" s="30">
        <v>7120.7</v>
      </c>
      <c r="E173" s="50">
        <f t="shared" si="5"/>
        <v>9.5529769720194852E-3</v>
      </c>
      <c r="F173" s="34"/>
      <c r="H173" s="35"/>
    </row>
    <row r="174" spans="1:8" x14ac:dyDescent="0.2">
      <c r="A174" s="38">
        <v>44810</v>
      </c>
      <c r="B174" s="29">
        <v>94.95</v>
      </c>
      <c r="C174" s="29">
        <f t="shared" si="4"/>
        <v>-7.8072119873862145E-2</v>
      </c>
      <c r="D174" s="30">
        <v>7019.7</v>
      </c>
      <c r="E174" s="50">
        <f t="shared" si="5"/>
        <v>-1.4285553116244991E-2</v>
      </c>
      <c r="F174" s="34"/>
      <c r="H174" s="35"/>
    </row>
    <row r="175" spans="1:8" x14ac:dyDescent="0.2">
      <c r="A175" s="38">
        <v>44812</v>
      </c>
      <c r="B175" s="29">
        <v>101.28</v>
      </c>
      <c r="C175" s="29">
        <f t="shared" si="4"/>
        <v>6.4538521137571164E-2</v>
      </c>
      <c r="D175" s="30">
        <v>7029.8</v>
      </c>
      <c r="E175" s="50">
        <f t="shared" si="5"/>
        <v>1.4377738339282603E-3</v>
      </c>
      <c r="F175" s="34"/>
      <c r="H175" s="35"/>
    </row>
    <row r="176" spans="1:8" x14ac:dyDescent="0.2">
      <c r="A176" s="38">
        <v>44813</v>
      </c>
      <c r="B176" s="29">
        <v>95.53</v>
      </c>
      <c r="C176" s="29">
        <f t="shared" si="4"/>
        <v>-5.8448624113949084E-2</v>
      </c>
      <c r="D176" s="30">
        <v>6894.2</v>
      </c>
      <c r="E176" s="50">
        <f t="shared" si="5"/>
        <v>-1.9477777507903079E-2</v>
      </c>
      <c r="F176" s="34"/>
      <c r="H176" s="35"/>
    </row>
    <row r="177" spans="1:8" x14ac:dyDescent="0.2">
      <c r="A177" s="38">
        <v>44815</v>
      </c>
      <c r="B177" s="29">
        <v>104.77</v>
      </c>
      <c r="C177" s="29">
        <f t="shared" si="4"/>
        <v>9.2327137082956506E-2</v>
      </c>
      <c r="D177" s="30">
        <v>6999.3</v>
      </c>
      <c r="E177" s="50">
        <f t="shared" si="5"/>
        <v>1.5129665647137974E-2</v>
      </c>
      <c r="F177" s="34"/>
      <c r="H177" s="35"/>
    </row>
    <row r="178" spans="1:8" x14ac:dyDescent="0.2">
      <c r="A178" s="38">
        <v>44816</v>
      </c>
      <c r="B178" s="29">
        <v>104.98</v>
      </c>
      <c r="C178" s="29">
        <f t="shared" si="4"/>
        <v>2.0023844592802708E-3</v>
      </c>
      <c r="D178" s="30">
        <v>7213.2</v>
      </c>
      <c r="E178" s="50">
        <f t="shared" si="5"/>
        <v>3.0102536795999654E-2</v>
      </c>
      <c r="F178" s="34"/>
      <c r="H178" s="35"/>
    </row>
    <row r="179" spans="1:8" x14ac:dyDescent="0.2">
      <c r="A179" s="38">
        <v>44835</v>
      </c>
      <c r="B179" s="29">
        <v>103.32</v>
      </c>
      <c r="C179" s="29">
        <f t="shared" si="4"/>
        <v>-1.5938887596514115E-2</v>
      </c>
      <c r="D179" s="30">
        <v>7447.1</v>
      </c>
      <c r="E179" s="50">
        <f t="shared" si="5"/>
        <v>3.1912014013502417E-2</v>
      </c>
      <c r="F179" s="34"/>
      <c r="H179" s="35"/>
    </row>
    <row r="180" spans="1:8" x14ac:dyDescent="0.2">
      <c r="A180" s="38">
        <v>44836</v>
      </c>
      <c r="B180" s="29">
        <v>100.78</v>
      </c>
      <c r="C180" s="29">
        <f t="shared" si="4"/>
        <v>-2.4891044975187578E-2</v>
      </c>
      <c r="D180" s="30">
        <v>7288.5</v>
      </c>
      <c r="E180" s="50">
        <f t="shared" si="5"/>
        <v>-2.1526931332551669E-2</v>
      </c>
      <c r="F180" s="34"/>
      <c r="H180" s="35"/>
    </row>
    <row r="181" spans="1:8" x14ac:dyDescent="0.2">
      <c r="A181" s="38">
        <v>44837</v>
      </c>
      <c r="B181" s="29">
        <v>99.74</v>
      </c>
      <c r="C181" s="29">
        <f t="shared" si="4"/>
        <v>-1.0373123134475564E-2</v>
      </c>
      <c r="D181" s="30">
        <v>7130.8</v>
      </c>
      <c r="E181" s="50">
        <f t="shared" si="5"/>
        <v>-2.1874333436360853E-2</v>
      </c>
      <c r="F181" s="34"/>
      <c r="H181" s="35"/>
    </row>
    <row r="182" spans="1:8" x14ac:dyDescent="0.2">
      <c r="A182" s="38">
        <v>44839</v>
      </c>
      <c r="B182" s="29">
        <v>101.7</v>
      </c>
      <c r="C182" s="29">
        <f t="shared" si="4"/>
        <v>1.9460502936537942E-2</v>
      </c>
      <c r="D182" s="30">
        <v>7051.2</v>
      </c>
      <c r="E182" s="50">
        <f t="shared" si="5"/>
        <v>-1.1225614989983996E-2</v>
      </c>
      <c r="F182" s="34"/>
      <c r="H182" s="35"/>
    </row>
    <row r="183" spans="1:8" x14ac:dyDescent="0.2">
      <c r="A183" s="38">
        <v>44840</v>
      </c>
      <c r="B183" s="29">
        <v>93.78</v>
      </c>
      <c r="C183" s="29">
        <f t="shared" si="4"/>
        <v>-8.107568939307408E-2</v>
      </c>
      <c r="D183" s="30">
        <v>6932</v>
      </c>
      <c r="E183" s="50">
        <f t="shared" si="5"/>
        <v>-1.7049443252225845E-2</v>
      </c>
      <c r="F183" s="34"/>
      <c r="H183" s="35"/>
    </row>
    <row r="184" spans="1:8" x14ac:dyDescent="0.2">
      <c r="A184" s="38">
        <v>44842</v>
      </c>
      <c r="B184" s="29">
        <v>101</v>
      </c>
      <c r="C184" s="29">
        <f t="shared" si="4"/>
        <v>7.4168903179819265E-2</v>
      </c>
      <c r="D184" s="30">
        <v>6992.7</v>
      </c>
      <c r="E184" s="50">
        <f t="shared" si="5"/>
        <v>8.7183759052368668E-3</v>
      </c>
      <c r="F184" s="34"/>
      <c r="H184" s="35"/>
    </row>
    <row r="185" spans="1:8" x14ac:dyDescent="0.2">
      <c r="A185" s="38">
        <v>44844</v>
      </c>
      <c r="B185" s="29">
        <v>94.96</v>
      </c>
      <c r="C185" s="29">
        <f t="shared" si="4"/>
        <v>-6.1664766539846913E-2</v>
      </c>
      <c r="D185" s="30">
        <v>6667.8</v>
      </c>
      <c r="E185" s="50">
        <f t="shared" si="5"/>
        <v>-4.7576777321077741E-2</v>
      </c>
      <c r="F185" s="34"/>
      <c r="H185" s="35"/>
    </row>
    <row r="186" spans="1:8" x14ac:dyDescent="0.2">
      <c r="A186" s="38">
        <v>44845</v>
      </c>
      <c r="B186" s="29">
        <v>104.04</v>
      </c>
      <c r="C186" s="29">
        <f t="shared" si="4"/>
        <v>9.1319690279038274E-2</v>
      </c>
      <c r="D186" s="30">
        <v>6964</v>
      </c>
      <c r="E186" s="50">
        <f t="shared" si="5"/>
        <v>4.3464051468423789E-2</v>
      </c>
      <c r="F186" s="34"/>
      <c r="H186" s="35"/>
    </row>
    <row r="187" spans="1:8" x14ac:dyDescent="0.2">
      <c r="A187" s="38">
        <v>44866</v>
      </c>
      <c r="B187" s="29">
        <v>101.76</v>
      </c>
      <c r="C187" s="29">
        <f t="shared" si="4"/>
        <v>-2.2158340988638822E-2</v>
      </c>
      <c r="D187" s="30">
        <v>7390.1</v>
      </c>
      <c r="E187" s="50">
        <f t="shared" si="5"/>
        <v>5.9387244762343187E-2</v>
      </c>
      <c r="F187" s="34"/>
      <c r="H187" s="35"/>
    </row>
    <row r="188" spans="1:8" x14ac:dyDescent="0.2">
      <c r="A188" s="38">
        <v>44867</v>
      </c>
      <c r="B188" s="29">
        <v>98.55</v>
      </c>
      <c r="C188" s="29">
        <f t="shared" si="4"/>
        <v>-3.2053065993082906E-2</v>
      </c>
      <c r="D188" s="30">
        <v>7217.3</v>
      </c>
      <c r="E188" s="50">
        <f t="shared" si="5"/>
        <v>-2.3660344923321419E-2</v>
      </c>
      <c r="F188" s="34"/>
      <c r="H188" s="35"/>
    </row>
    <row r="189" spans="1:8" x14ac:dyDescent="0.2">
      <c r="A189" s="38">
        <v>44868</v>
      </c>
      <c r="B189" s="29">
        <v>99.38</v>
      </c>
      <c r="C189" s="29">
        <f t="shared" si="4"/>
        <v>8.3868525754453183E-3</v>
      </c>
      <c r="D189" s="30">
        <v>7063.6</v>
      </c>
      <c r="E189" s="50">
        <f t="shared" si="5"/>
        <v>-2.1526085188132128E-2</v>
      </c>
      <c r="F189" s="34"/>
      <c r="H189" s="35"/>
    </row>
    <row r="190" spans="1:8" x14ac:dyDescent="0.2">
      <c r="A190" s="38">
        <v>44869</v>
      </c>
      <c r="B190" s="29">
        <v>106.88</v>
      </c>
      <c r="C190" s="29">
        <f t="shared" si="4"/>
        <v>7.2755823614161066E-2</v>
      </c>
      <c r="D190" s="30">
        <v>7485.2</v>
      </c>
      <c r="E190" s="50">
        <f t="shared" si="5"/>
        <v>5.7972901064664135E-2</v>
      </c>
      <c r="F190" s="34"/>
      <c r="H190" s="35"/>
    </row>
    <row r="191" spans="1:8" x14ac:dyDescent="0.2">
      <c r="A191" s="38">
        <v>44870</v>
      </c>
      <c r="B191" s="29">
        <v>101.51</v>
      </c>
      <c r="C191" s="29">
        <f t="shared" si="4"/>
        <v>-5.1549393991995845E-2</v>
      </c>
      <c r="D191" s="30">
        <v>7064.7</v>
      </c>
      <c r="E191" s="50">
        <f t="shared" si="5"/>
        <v>-5.7817185231588367E-2</v>
      </c>
      <c r="F191" s="34"/>
      <c r="H191" s="35"/>
    </row>
    <row r="192" spans="1:8" x14ac:dyDescent="0.2">
      <c r="A192" s="38">
        <v>44872</v>
      </c>
      <c r="B192" s="29">
        <v>92.55</v>
      </c>
      <c r="C192" s="29">
        <f t="shared" si="4"/>
        <v>-9.2408276776833262E-2</v>
      </c>
      <c r="D192" s="30">
        <v>6602.2</v>
      </c>
      <c r="E192" s="50">
        <f t="shared" si="5"/>
        <v>-6.7707625567407781E-2</v>
      </c>
      <c r="F192" s="34"/>
      <c r="H192" s="35"/>
    </row>
    <row r="193" spans="1:8" x14ac:dyDescent="0.2">
      <c r="A193" s="38">
        <v>44873</v>
      </c>
      <c r="B193" s="29">
        <v>100.85</v>
      </c>
      <c r="C193" s="29">
        <f t="shared" si="4"/>
        <v>8.5885225380714247E-2</v>
      </c>
      <c r="D193" s="30">
        <v>7071</v>
      </c>
      <c r="E193" s="50">
        <f t="shared" si="5"/>
        <v>6.8598985799603621E-2</v>
      </c>
      <c r="F193" s="34"/>
      <c r="H193" s="35"/>
    </row>
    <row r="194" spans="1:8" x14ac:dyDescent="0.2">
      <c r="A194" s="38">
        <v>44875</v>
      </c>
      <c r="B194" s="29">
        <v>94</v>
      </c>
      <c r="C194" s="29">
        <f t="shared" si="4"/>
        <v>-7.0339482130216846E-2</v>
      </c>
      <c r="D194" s="30">
        <v>6645</v>
      </c>
      <c r="E194" s="50">
        <f t="shared" si="5"/>
        <v>-6.2137220456895126E-2</v>
      </c>
      <c r="F194" s="34"/>
      <c r="H194" s="35"/>
    </row>
    <row r="195" spans="1:8" x14ac:dyDescent="0.2">
      <c r="A195" s="38">
        <v>44876</v>
      </c>
      <c r="B195" s="29">
        <v>105.81</v>
      </c>
      <c r="C195" s="29">
        <f t="shared" si="4"/>
        <v>0.11835025064606648</v>
      </c>
      <c r="D195" s="30">
        <v>7158</v>
      </c>
      <c r="E195" s="50">
        <f t="shared" si="5"/>
        <v>7.4365920178625464E-2</v>
      </c>
      <c r="F195" s="34"/>
      <c r="H195" s="35"/>
    </row>
    <row r="196" spans="1:8" x14ac:dyDescent="0.2">
      <c r="A196" s="38">
        <v>44896</v>
      </c>
      <c r="B196" s="29">
        <v>101.58</v>
      </c>
      <c r="C196" s="29">
        <f t="shared" si="4"/>
        <v>-4.0798367542971406E-2</v>
      </c>
      <c r="D196" s="30">
        <v>7438.9</v>
      </c>
      <c r="E196" s="50">
        <f t="shared" si="5"/>
        <v>3.8492376107991673E-2</v>
      </c>
      <c r="F196" s="34"/>
      <c r="H196" s="35"/>
    </row>
    <row r="197" spans="1:8" x14ac:dyDescent="0.2">
      <c r="A197" s="38">
        <v>44899</v>
      </c>
      <c r="B197" s="29">
        <v>106.71</v>
      </c>
      <c r="C197" s="29">
        <f t="shared" ref="C197:C260" si="6">LN(B197/B196)</f>
        <v>4.9268209255374437E-2</v>
      </c>
      <c r="D197" s="30">
        <v>7454</v>
      </c>
      <c r="E197" s="50">
        <f t="shared" ref="E197:E260" si="7">LN(D197/D196)</f>
        <v>2.0278126052409411E-3</v>
      </c>
      <c r="F197" s="34"/>
      <c r="H197" s="35"/>
    </row>
    <row r="198" spans="1:8" x14ac:dyDescent="0.2">
      <c r="A198" s="38">
        <v>44900</v>
      </c>
      <c r="B198" s="29">
        <v>102.15</v>
      </c>
      <c r="C198" s="29">
        <f t="shared" si="6"/>
        <v>-4.367255336484234E-2</v>
      </c>
      <c r="D198" s="30">
        <v>6941</v>
      </c>
      <c r="E198" s="50">
        <f t="shared" si="7"/>
        <v>-7.1304944699620038E-2</v>
      </c>
      <c r="F198" s="34"/>
      <c r="H198" s="35"/>
    </row>
    <row r="199" spans="1:8" x14ac:dyDescent="0.2">
      <c r="A199" s="38">
        <v>44902</v>
      </c>
      <c r="B199" s="29">
        <v>93.63</v>
      </c>
      <c r="C199" s="29">
        <f t="shared" si="6"/>
        <v>-8.7091476312833455E-2</v>
      </c>
      <c r="D199" s="30">
        <v>6606.3</v>
      </c>
      <c r="E199" s="50">
        <f t="shared" si="7"/>
        <v>-4.9422117159327469E-2</v>
      </c>
      <c r="F199" s="34"/>
      <c r="H199" s="35"/>
    </row>
    <row r="200" spans="1:8" x14ac:dyDescent="0.2">
      <c r="A200" s="38">
        <v>44903</v>
      </c>
      <c r="B200" s="29">
        <v>100.34</v>
      </c>
      <c r="C200" s="29">
        <f t="shared" si="6"/>
        <v>6.9213574105309233E-2</v>
      </c>
      <c r="D200" s="30">
        <v>7032.5</v>
      </c>
      <c r="E200" s="50">
        <f t="shared" si="7"/>
        <v>6.2518522183755754E-2</v>
      </c>
      <c r="F200" s="34"/>
      <c r="H200" s="35"/>
    </row>
    <row r="201" spans="1:8" x14ac:dyDescent="0.2">
      <c r="A201" s="38">
        <v>44904</v>
      </c>
      <c r="B201" s="29">
        <v>96.28</v>
      </c>
      <c r="C201" s="29">
        <f t="shared" si="6"/>
        <v>-4.1303806141235751E-2</v>
      </c>
      <c r="D201" s="30">
        <v>6964.5</v>
      </c>
      <c r="E201" s="50">
        <f t="shared" si="7"/>
        <v>-9.7164442359258668E-3</v>
      </c>
      <c r="F201" s="34"/>
      <c r="H201" s="35"/>
    </row>
    <row r="202" spans="1:8" x14ac:dyDescent="0.2">
      <c r="A202" s="38">
        <v>44905</v>
      </c>
      <c r="B202" s="29">
        <v>96.29</v>
      </c>
      <c r="C202" s="29">
        <f t="shared" si="6"/>
        <v>1.0385833732147027E-4</v>
      </c>
      <c r="D202" s="30">
        <v>6647.5</v>
      </c>
      <c r="E202" s="50">
        <f t="shared" si="7"/>
        <v>-4.658497301091119E-2</v>
      </c>
      <c r="F202" s="34"/>
      <c r="H202" s="35"/>
    </row>
    <row r="203" spans="1:8" x14ac:dyDescent="0.2">
      <c r="A203" s="38">
        <v>44907</v>
      </c>
      <c r="B203" s="29">
        <v>105.39</v>
      </c>
      <c r="C203" s="29">
        <f t="shared" si="6"/>
        <v>9.0303283693652814E-2</v>
      </c>
      <c r="D203" s="30">
        <v>7180.8</v>
      </c>
      <c r="E203" s="50">
        <f t="shared" si="7"/>
        <v>7.7169953331092889E-2</v>
      </c>
      <c r="F203" s="34"/>
      <c r="H203" s="35"/>
    </row>
    <row r="204" spans="1:8" x14ac:dyDescent="0.2">
      <c r="A204" s="38">
        <v>44928</v>
      </c>
      <c r="B204" s="29">
        <v>110.15</v>
      </c>
      <c r="C204" s="29">
        <f t="shared" si="6"/>
        <v>4.4175318302506796E-2</v>
      </c>
      <c r="D204" s="30">
        <v>7501.7</v>
      </c>
      <c r="E204" s="50">
        <f t="shared" si="7"/>
        <v>4.3718864057792996E-2</v>
      </c>
      <c r="F204" s="34"/>
      <c r="H204" s="35"/>
    </row>
    <row r="205" spans="1:8" x14ac:dyDescent="0.2">
      <c r="A205" s="38">
        <v>44929</v>
      </c>
      <c r="B205" s="29">
        <v>99.05</v>
      </c>
      <c r="C205" s="29">
        <f t="shared" si="6"/>
        <v>-0.10621830010379228</v>
      </c>
      <c r="D205" s="30">
        <v>7251.6</v>
      </c>
      <c r="E205" s="50">
        <f t="shared" si="7"/>
        <v>-3.3907527350547625E-2</v>
      </c>
      <c r="F205" s="34"/>
      <c r="H205" s="35"/>
    </row>
    <row r="206" spans="1:8" x14ac:dyDescent="0.2">
      <c r="A206" s="38">
        <v>44931</v>
      </c>
      <c r="B206" s="29">
        <v>100.44</v>
      </c>
      <c r="C206" s="29">
        <f t="shared" si="6"/>
        <v>1.3935761144824305E-2</v>
      </c>
      <c r="D206" s="30">
        <v>7334.6</v>
      </c>
      <c r="E206" s="50">
        <f t="shared" si="7"/>
        <v>1.1380742873919393E-2</v>
      </c>
      <c r="F206" s="34"/>
      <c r="H206" s="35"/>
    </row>
    <row r="207" spans="1:8" x14ac:dyDescent="0.2">
      <c r="A207" s="38">
        <v>44932</v>
      </c>
      <c r="B207" s="29">
        <v>96.8</v>
      </c>
      <c r="C207" s="29">
        <f t="shared" si="6"/>
        <v>-3.691354000685295E-2</v>
      </c>
      <c r="D207" s="30">
        <v>7110.8</v>
      </c>
      <c r="E207" s="50">
        <f t="shared" si="7"/>
        <v>-3.0988121980902342E-2</v>
      </c>
      <c r="F207" s="34"/>
      <c r="H207" s="35"/>
    </row>
    <row r="208" spans="1:8" x14ac:dyDescent="0.2">
      <c r="A208" s="38">
        <v>44934</v>
      </c>
      <c r="B208" s="29">
        <v>105.85</v>
      </c>
      <c r="C208" s="29">
        <f t="shared" si="6"/>
        <v>8.937600329834279E-2</v>
      </c>
      <c r="D208" s="30">
        <v>7450.7</v>
      </c>
      <c r="E208" s="50">
        <f t="shared" si="7"/>
        <v>4.6693232642679335E-2</v>
      </c>
      <c r="F208" s="34"/>
      <c r="H208" s="35"/>
    </row>
    <row r="209" spans="1:8" x14ac:dyDescent="0.2">
      <c r="A209" s="38">
        <v>44935</v>
      </c>
      <c r="B209" s="29">
        <v>101.35</v>
      </c>
      <c r="C209" s="29">
        <f t="shared" si="6"/>
        <v>-4.3443124682865097E-2</v>
      </c>
      <c r="D209" s="30">
        <v>7278.3</v>
      </c>
      <c r="E209" s="50">
        <f t="shared" si="7"/>
        <v>-2.3410669253213858E-2</v>
      </c>
      <c r="F209" s="34"/>
      <c r="H209" s="35"/>
    </row>
    <row r="210" spans="1:8" x14ac:dyDescent="0.2">
      <c r="A210" s="38">
        <v>44937</v>
      </c>
      <c r="B210" s="29">
        <v>96.87</v>
      </c>
      <c r="C210" s="29">
        <f t="shared" si="6"/>
        <v>-4.5209999459715385E-2</v>
      </c>
      <c r="D210" s="30">
        <v>6838.3</v>
      </c>
      <c r="E210" s="50">
        <f t="shared" si="7"/>
        <v>-6.2358155723785627E-2</v>
      </c>
      <c r="F210" s="34"/>
      <c r="H210" s="35"/>
    </row>
    <row r="211" spans="1:8" x14ac:dyDescent="0.2">
      <c r="A211" s="38">
        <v>44938</v>
      </c>
      <c r="B211" s="29">
        <v>104.19</v>
      </c>
      <c r="C211" s="29">
        <f t="shared" si="6"/>
        <v>7.2846281985798803E-2</v>
      </c>
      <c r="D211" s="30">
        <v>7073.2</v>
      </c>
      <c r="E211" s="50">
        <f t="shared" si="7"/>
        <v>3.3773831466611927E-2</v>
      </c>
      <c r="F211" s="34"/>
      <c r="H211" s="35"/>
    </row>
    <row r="212" spans="1:8" x14ac:dyDescent="0.2">
      <c r="A212" s="38">
        <v>44959</v>
      </c>
      <c r="B212" s="29">
        <v>109.73</v>
      </c>
      <c r="C212" s="29">
        <f t="shared" si="6"/>
        <v>5.1806647578615382E-2</v>
      </c>
      <c r="D212" s="30">
        <v>7511.6</v>
      </c>
      <c r="E212" s="50">
        <f t="shared" si="7"/>
        <v>6.0135498153229112E-2</v>
      </c>
      <c r="F212" s="34"/>
      <c r="H212" s="35"/>
    </row>
    <row r="213" spans="1:8" x14ac:dyDescent="0.2">
      <c r="A213" s="38">
        <v>44960</v>
      </c>
      <c r="B213" s="29">
        <v>97.07</v>
      </c>
      <c r="C213" s="29">
        <f t="shared" si="6"/>
        <v>-0.1225904352785729</v>
      </c>
      <c r="D213" s="30">
        <v>7255.4</v>
      </c>
      <c r="E213" s="50">
        <f t="shared" si="7"/>
        <v>-3.4702473145532001E-2</v>
      </c>
      <c r="F213" s="34"/>
      <c r="H213" s="35"/>
    </row>
    <row r="214" spans="1:8" x14ac:dyDescent="0.2">
      <c r="A214" s="38">
        <v>44962</v>
      </c>
      <c r="B214" s="29">
        <v>100.1</v>
      </c>
      <c r="C214" s="29">
        <f t="shared" si="6"/>
        <v>3.0737318597040063E-2</v>
      </c>
      <c r="D214" s="30">
        <v>7267.4</v>
      </c>
      <c r="E214" s="50">
        <f t="shared" si="7"/>
        <v>1.6525742599226157E-3</v>
      </c>
      <c r="F214" s="34"/>
      <c r="H214" s="35"/>
    </row>
    <row r="215" spans="1:8" x14ac:dyDescent="0.2">
      <c r="A215" s="38">
        <v>44963</v>
      </c>
      <c r="B215" s="29">
        <v>96.91</v>
      </c>
      <c r="C215" s="29">
        <f t="shared" si="6"/>
        <v>-3.2386973574716212E-2</v>
      </c>
      <c r="D215" s="30">
        <v>7145.1</v>
      </c>
      <c r="E215" s="50">
        <f t="shared" si="7"/>
        <v>-1.6971786381154708E-2</v>
      </c>
      <c r="F215" s="34"/>
      <c r="H215" s="35"/>
    </row>
    <row r="216" spans="1:8" x14ac:dyDescent="0.2">
      <c r="A216" s="38">
        <v>44965</v>
      </c>
      <c r="B216" s="29">
        <v>103.46</v>
      </c>
      <c r="C216" s="29">
        <f t="shared" si="6"/>
        <v>6.5402351828910382E-2</v>
      </c>
      <c r="D216" s="30">
        <v>7354.6</v>
      </c>
      <c r="E216" s="50">
        <f t="shared" si="7"/>
        <v>2.8899160717081724E-2</v>
      </c>
      <c r="F216" s="34"/>
      <c r="H216" s="35"/>
    </row>
    <row r="217" spans="1:8" x14ac:dyDescent="0.2">
      <c r="A217" s="38">
        <v>44967</v>
      </c>
      <c r="B217" s="29">
        <v>99.85</v>
      </c>
      <c r="C217" s="29">
        <f t="shared" si="6"/>
        <v>-3.5516004713544755E-2</v>
      </c>
      <c r="D217" s="30">
        <v>7033.2</v>
      </c>
      <c r="E217" s="50">
        <f t="shared" si="7"/>
        <v>-4.4684173513985043E-2</v>
      </c>
      <c r="F217" s="34"/>
      <c r="H217" s="35"/>
    </row>
    <row r="218" spans="1:8" x14ac:dyDescent="0.2">
      <c r="A218" s="38">
        <v>44968</v>
      </c>
      <c r="B218" s="29">
        <v>98.43</v>
      </c>
      <c r="C218" s="29">
        <f t="shared" si="6"/>
        <v>-1.4323424220704182E-2</v>
      </c>
      <c r="D218" s="30">
        <v>6899.7</v>
      </c>
      <c r="E218" s="50">
        <f t="shared" si="7"/>
        <v>-1.9163861891109687E-2</v>
      </c>
      <c r="F218" s="34"/>
      <c r="H218" s="35"/>
    </row>
    <row r="219" spans="1:8" x14ac:dyDescent="0.2">
      <c r="A219" s="38">
        <v>44986</v>
      </c>
      <c r="B219" s="29">
        <v>101.05</v>
      </c>
      <c r="C219" s="29">
        <f t="shared" si="6"/>
        <v>2.6269808208510045E-2</v>
      </c>
      <c r="D219" s="30">
        <v>6946.2</v>
      </c>
      <c r="E219" s="50">
        <f t="shared" si="7"/>
        <v>6.7168150604636143E-3</v>
      </c>
      <c r="F219" s="34"/>
      <c r="H219" s="35"/>
    </row>
    <row r="220" spans="1:8" x14ac:dyDescent="0.2">
      <c r="A220" s="38">
        <v>44987</v>
      </c>
      <c r="B220" s="29">
        <v>111.15</v>
      </c>
      <c r="C220" s="29">
        <f t="shared" si="6"/>
        <v>9.5265196560575596E-2</v>
      </c>
      <c r="D220" s="30">
        <v>7558.1</v>
      </c>
      <c r="E220" s="50">
        <f t="shared" si="7"/>
        <v>8.4425088395663039E-2</v>
      </c>
      <c r="F220" s="34"/>
      <c r="H220" s="35"/>
    </row>
    <row r="221" spans="1:8" x14ac:dyDescent="0.2">
      <c r="A221" s="38">
        <v>44988</v>
      </c>
      <c r="B221" s="29">
        <v>97.75</v>
      </c>
      <c r="C221" s="29">
        <f t="shared" si="6"/>
        <v>-0.12846744154473047</v>
      </c>
      <c r="D221" s="30">
        <v>7283.6</v>
      </c>
      <c r="E221" s="50">
        <f t="shared" si="7"/>
        <v>-3.6994590377712543E-2</v>
      </c>
      <c r="F221" s="34"/>
      <c r="H221" s="35"/>
    </row>
    <row r="222" spans="1:8" x14ac:dyDescent="0.2">
      <c r="A222" s="38">
        <v>44989</v>
      </c>
      <c r="B222" s="29">
        <v>99.27</v>
      </c>
      <c r="C222" s="29">
        <f t="shared" si="6"/>
        <v>1.543021173615523E-2</v>
      </c>
      <c r="D222" s="30">
        <v>7223</v>
      </c>
      <c r="E222" s="50">
        <f t="shared" si="7"/>
        <v>-8.3548664068414935E-3</v>
      </c>
      <c r="F222" s="34"/>
      <c r="H222" s="35"/>
    </row>
    <row r="223" spans="1:8" x14ac:dyDescent="0.2">
      <c r="A223" s="38">
        <v>44990</v>
      </c>
      <c r="B223" s="29">
        <v>98.29</v>
      </c>
      <c r="C223" s="29">
        <f t="shared" si="6"/>
        <v>-9.9211180230924043E-3</v>
      </c>
      <c r="D223" s="30">
        <v>7197.4</v>
      </c>
      <c r="E223" s="50">
        <f t="shared" si="7"/>
        <v>-3.5505293741292287E-3</v>
      </c>
      <c r="F223" s="34"/>
      <c r="H223" s="35"/>
    </row>
    <row r="224" spans="1:8" x14ac:dyDescent="0.2">
      <c r="A224" s="38">
        <v>44992</v>
      </c>
      <c r="B224" s="29">
        <v>100.94</v>
      </c>
      <c r="C224" s="29">
        <f t="shared" si="6"/>
        <v>2.6603988333578195E-2</v>
      </c>
      <c r="D224" s="30">
        <v>7246.1</v>
      </c>
      <c r="E224" s="50">
        <f t="shared" si="7"/>
        <v>6.7435434007132996E-3</v>
      </c>
      <c r="F224" s="34"/>
      <c r="H224" s="35"/>
    </row>
    <row r="225" spans="1:8" x14ac:dyDescent="0.2">
      <c r="A225" s="38">
        <v>44993</v>
      </c>
      <c r="B225" s="29">
        <v>102.46</v>
      </c>
      <c r="C225" s="29">
        <f t="shared" si="6"/>
        <v>1.4946197598939805E-2</v>
      </c>
      <c r="D225" s="30">
        <v>7311.7</v>
      </c>
      <c r="E225" s="50">
        <f t="shared" si="7"/>
        <v>9.0124117684757532E-3</v>
      </c>
      <c r="F225" s="34"/>
      <c r="H225" s="35"/>
    </row>
    <row r="226" spans="1:8" x14ac:dyDescent="0.2">
      <c r="A226" s="38">
        <v>44995</v>
      </c>
      <c r="B226" s="29">
        <v>99.69</v>
      </c>
      <c r="C226" s="29">
        <f t="shared" si="6"/>
        <v>-2.7407107476443641E-2</v>
      </c>
      <c r="D226" s="30">
        <v>6943.4</v>
      </c>
      <c r="E226" s="50">
        <f t="shared" si="7"/>
        <v>-5.1684236768847397E-2</v>
      </c>
      <c r="F226" s="34"/>
      <c r="H226" s="35"/>
    </row>
    <row r="227" spans="1:8" x14ac:dyDescent="0.2">
      <c r="A227" s="38">
        <v>44996</v>
      </c>
      <c r="B227" s="29">
        <v>99.93</v>
      </c>
      <c r="C227" s="29">
        <f t="shared" si="6"/>
        <v>2.4045698390855715E-3</v>
      </c>
      <c r="D227" s="30">
        <v>6978.2</v>
      </c>
      <c r="E227" s="50">
        <f t="shared" si="7"/>
        <v>4.9994357665222788E-3</v>
      </c>
      <c r="F227" s="34"/>
      <c r="H227" s="35"/>
    </row>
    <row r="228" spans="1:8" x14ac:dyDescent="0.2">
      <c r="A228" s="38">
        <v>45017</v>
      </c>
      <c r="B228" s="29">
        <v>103.14</v>
      </c>
      <c r="C228" s="29">
        <f t="shared" si="6"/>
        <v>3.1617347749114871E-2</v>
      </c>
      <c r="D228" s="30">
        <v>7059.2</v>
      </c>
      <c r="E228" s="50">
        <f t="shared" si="7"/>
        <v>1.1540726775547057E-2</v>
      </c>
      <c r="F228" s="34"/>
      <c r="H228" s="35"/>
    </row>
    <row r="229" spans="1:8" x14ac:dyDescent="0.2">
      <c r="A229" s="38">
        <v>45020</v>
      </c>
      <c r="B229" s="29">
        <v>98.98</v>
      </c>
      <c r="C229" s="29">
        <f t="shared" si="6"/>
        <v>-4.116947909907287E-2</v>
      </c>
      <c r="D229" s="30">
        <v>7236</v>
      </c>
      <c r="E229" s="50">
        <f t="shared" si="7"/>
        <v>2.4736836896057227E-2</v>
      </c>
      <c r="F229" s="34"/>
      <c r="H229" s="35"/>
    </row>
    <row r="230" spans="1:8" x14ac:dyDescent="0.2">
      <c r="A230" s="38">
        <v>45021</v>
      </c>
      <c r="B230" s="29">
        <v>95.76</v>
      </c>
      <c r="C230" s="29">
        <f t="shared" si="6"/>
        <v>-3.3072748274022311E-2</v>
      </c>
      <c r="D230" s="30">
        <v>7193.1</v>
      </c>
      <c r="E230" s="50">
        <f t="shared" si="7"/>
        <v>-5.9463343393509312E-3</v>
      </c>
      <c r="F230" s="34"/>
      <c r="H230" s="35"/>
    </row>
    <row r="231" spans="1:8" x14ac:dyDescent="0.2">
      <c r="A231" s="38">
        <v>45023</v>
      </c>
      <c r="B231" s="29">
        <v>102.28</v>
      </c>
      <c r="C231" s="29">
        <f t="shared" si="6"/>
        <v>6.5869089173268128E-2</v>
      </c>
      <c r="D231" s="30">
        <v>7279</v>
      </c>
      <c r="E231" s="50">
        <f t="shared" si="7"/>
        <v>1.1871256942423046E-2</v>
      </c>
      <c r="F231" s="34"/>
      <c r="H231" s="35"/>
    </row>
    <row r="232" spans="1:8" x14ac:dyDescent="0.2">
      <c r="A232" s="38">
        <v>45024</v>
      </c>
      <c r="B232" s="29">
        <v>101.87</v>
      </c>
      <c r="C232" s="29">
        <f t="shared" si="6"/>
        <v>-4.0166598210108996E-3</v>
      </c>
      <c r="D232" s="30">
        <v>7325.3</v>
      </c>
      <c r="E232" s="50">
        <f t="shared" si="7"/>
        <v>6.3406195597506205E-3</v>
      </c>
      <c r="F232" s="34"/>
      <c r="H232" s="35"/>
    </row>
    <row r="233" spans="1:8" x14ac:dyDescent="0.2">
      <c r="A233" s="38">
        <v>45025</v>
      </c>
      <c r="B233" s="29">
        <v>102.01</v>
      </c>
      <c r="C233" s="29">
        <f t="shared" si="6"/>
        <v>1.3733570924525566E-3</v>
      </c>
      <c r="D233" s="30">
        <v>7318.8</v>
      </c>
      <c r="E233" s="50">
        <f t="shared" si="7"/>
        <v>-8.8772958759747369E-4</v>
      </c>
      <c r="F233" s="34"/>
      <c r="H233" s="35"/>
    </row>
    <row r="234" spans="1:8" x14ac:dyDescent="0.2">
      <c r="A234" s="38">
        <v>45026</v>
      </c>
      <c r="B234" s="29">
        <v>98.09</v>
      </c>
      <c r="C234" s="29">
        <f t="shared" si="6"/>
        <v>-3.9185423118203326E-2</v>
      </c>
      <c r="D234" s="30">
        <v>6890.2</v>
      </c>
      <c r="E234" s="50">
        <f t="shared" si="7"/>
        <v>-6.0346267927801289E-2</v>
      </c>
      <c r="F234" s="34"/>
      <c r="H234" s="35"/>
    </row>
    <row r="235" spans="1:8" x14ac:dyDescent="0.2">
      <c r="A235" s="38">
        <v>45028</v>
      </c>
      <c r="B235" s="29">
        <v>105.12</v>
      </c>
      <c r="C235" s="29">
        <f t="shared" si="6"/>
        <v>6.9217130160076218E-2</v>
      </c>
      <c r="D235" s="30">
        <v>7124.7</v>
      </c>
      <c r="E235" s="50">
        <f t="shared" si="7"/>
        <v>3.3467507824632182E-2</v>
      </c>
      <c r="F235" s="34"/>
      <c r="H235" s="35"/>
    </row>
    <row r="236" spans="1:8" x14ac:dyDescent="0.2">
      <c r="A236" s="38">
        <v>45047</v>
      </c>
      <c r="B236" s="29">
        <v>103.32</v>
      </c>
      <c r="C236" s="29">
        <f t="shared" si="6"/>
        <v>-1.7271586508660709E-2</v>
      </c>
      <c r="D236" s="30">
        <v>7063.6</v>
      </c>
      <c r="E236" s="50">
        <f t="shared" si="7"/>
        <v>-8.6127834482725447E-3</v>
      </c>
      <c r="F236" s="34"/>
      <c r="H236" s="35"/>
    </row>
    <row r="237" spans="1:8" x14ac:dyDescent="0.2">
      <c r="A237" s="38">
        <v>45050</v>
      </c>
      <c r="B237" s="29">
        <v>99.06</v>
      </c>
      <c r="C237" s="29">
        <f t="shared" si="6"/>
        <v>-4.2105241067547976E-2</v>
      </c>
      <c r="D237" s="30">
        <v>7237.2</v>
      </c>
      <c r="E237" s="50">
        <f t="shared" si="7"/>
        <v>2.4279554705972067E-2</v>
      </c>
      <c r="F237" s="34"/>
      <c r="H237" s="35"/>
    </row>
    <row r="238" spans="1:8" x14ac:dyDescent="0.2">
      <c r="A238" s="38">
        <v>45051</v>
      </c>
      <c r="B238" s="29">
        <v>96.13</v>
      </c>
      <c r="C238" s="29">
        <f t="shared" si="6"/>
        <v>-3.0024285082366861E-2</v>
      </c>
      <c r="D238" s="30">
        <v>7220</v>
      </c>
      <c r="E238" s="50">
        <f t="shared" si="7"/>
        <v>-2.3794383580694614E-3</v>
      </c>
      <c r="F238" s="34"/>
      <c r="H238" s="35"/>
    </row>
    <row r="239" spans="1:8" x14ac:dyDescent="0.2">
      <c r="A239" s="38">
        <v>45052</v>
      </c>
      <c r="B239" s="29">
        <v>97.5</v>
      </c>
      <c r="C239" s="29">
        <f t="shared" si="6"/>
        <v>1.4150935926076835E-2</v>
      </c>
      <c r="D239" s="30">
        <v>7216.3</v>
      </c>
      <c r="E239" s="50">
        <f t="shared" si="7"/>
        <v>-5.1259672921956552E-4</v>
      </c>
      <c r="F239" s="34"/>
      <c r="H239" s="35"/>
    </row>
    <row r="240" spans="1:8" x14ac:dyDescent="0.2">
      <c r="A240" s="38">
        <v>45053</v>
      </c>
      <c r="B240" s="29">
        <v>101.78</v>
      </c>
      <c r="C240" s="29">
        <f t="shared" si="6"/>
        <v>4.2961243156885216E-2</v>
      </c>
      <c r="D240" s="30">
        <v>7253.2</v>
      </c>
      <c r="E240" s="50">
        <f t="shared" si="7"/>
        <v>5.1003946222181471E-3</v>
      </c>
      <c r="F240" s="34"/>
      <c r="H240" s="35"/>
    </row>
    <row r="241" spans="1:8" x14ac:dyDescent="0.2">
      <c r="A241" s="38">
        <v>45055</v>
      </c>
      <c r="B241" s="29">
        <v>102.22</v>
      </c>
      <c r="C241" s="29">
        <f t="shared" si="6"/>
        <v>4.3137321794468634E-3</v>
      </c>
      <c r="D241" s="30">
        <v>7314.3</v>
      </c>
      <c r="E241" s="50">
        <f t="shared" si="7"/>
        <v>8.3885853155079744E-3</v>
      </c>
      <c r="F241" s="34"/>
      <c r="H241" s="35"/>
    </row>
    <row r="242" spans="1:8" x14ac:dyDescent="0.2">
      <c r="A242" s="38">
        <v>45056</v>
      </c>
      <c r="B242" s="29">
        <v>98.98</v>
      </c>
      <c r="C242" s="29">
        <f t="shared" si="6"/>
        <v>-3.2209543816393398E-2</v>
      </c>
      <c r="D242" s="30">
        <v>6925.5</v>
      </c>
      <c r="E242" s="50">
        <f t="shared" si="7"/>
        <v>-5.4621084480225221E-2</v>
      </c>
      <c r="F242" s="34"/>
      <c r="H242" s="35"/>
    </row>
    <row r="243" spans="1:8" x14ac:dyDescent="0.2">
      <c r="A243" s="38">
        <v>45058</v>
      </c>
      <c r="B243" s="29">
        <v>104.71</v>
      </c>
      <c r="C243" s="29">
        <f t="shared" si="6"/>
        <v>5.6276814775630631E-2</v>
      </c>
      <c r="D243" s="30">
        <v>7061.6</v>
      </c>
      <c r="E243" s="50">
        <f t="shared" si="7"/>
        <v>1.9461403090869932E-2</v>
      </c>
      <c r="F243" s="34"/>
      <c r="H243" s="35"/>
    </row>
    <row r="244" spans="1:8" x14ac:dyDescent="0.2">
      <c r="A244" s="38">
        <v>45078</v>
      </c>
      <c r="B244" s="29">
        <v>103.18</v>
      </c>
      <c r="C244" s="29">
        <f t="shared" si="6"/>
        <v>-1.4719588482866688E-2</v>
      </c>
      <c r="D244" s="30">
        <v>7109.6</v>
      </c>
      <c r="E244" s="50">
        <f t="shared" si="7"/>
        <v>6.7743287182423168E-3</v>
      </c>
      <c r="F244" s="34"/>
      <c r="H244" s="35"/>
    </row>
    <row r="245" spans="1:8" x14ac:dyDescent="0.2">
      <c r="A245" s="38">
        <v>45079</v>
      </c>
      <c r="B245" s="29">
        <v>110.75</v>
      </c>
      <c r="C245" s="29">
        <f t="shared" si="6"/>
        <v>7.0800373108741071E-2</v>
      </c>
      <c r="D245" s="30">
        <v>7539</v>
      </c>
      <c r="E245" s="50">
        <f t="shared" si="7"/>
        <v>5.8643563787436327E-2</v>
      </c>
      <c r="F245" s="34"/>
      <c r="H245" s="35"/>
    </row>
    <row r="246" spans="1:8" x14ac:dyDescent="0.2">
      <c r="A246" s="38">
        <v>45080</v>
      </c>
      <c r="B246" s="29">
        <v>98.6</v>
      </c>
      <c r="C246" s="29">
        <f t="shared" si="6"/>
        <v>-0.11620414731665538</v>
      </c>
      <c r="D246" s="30">
        <v>7328.6</v>
      </c>
      <c r="E246" s="50">
        <f t="shared" si="7"/>
        <v>-2.8305045480276327E-2</v>
      </c>
      <c r="F246" s="34"/>
      <c r="H246" s="35"/>
    </row>
    <row r="247" spans="1:8" x14ac:dyDescent="0.2">
      <c r="A247" s="38">
        <v>45081</v>
      </c>
      <c r="B247" s="29">
        <v>99.01</v>
      </c>
      <c r="C247" s="29">
        <f t="shared" si="6"/>
        <v>4.1495935258335833E-3</v>
      </c>
      <c r="D247" s="30">
        <v>7219</v>
      </c>
      <c r="E247" s="50">
        <f t="shared" si="7"/>
        <v>-1.5068062592264555E-2</v>
      </c>
      <c r="F247" s="34"/>
      <c r="H247" s="35"/>
    </row>
    <row r="248" spans="1:8" x14ac:dyDescent="0.2">
      <c r="A248" s="38">
        <v>45083</v>
      </c>
      <c r="B248" s="29">
        <v>96.56</v>
      </c>
      <c r="C248" s="29">
        <f t="shared" si="6"/>
        <v>-2.5056278345147204E-2</v>
      </c>
      <c r="D248" s="30">
        <v>7129.6</v>
      </c>
      <c r="E248" s="50">
        <f t="shared" si="7"/>
        <v>-1.2461307286305484E-2</v>
      </c>
      <c r="F248" s="34"/>
      <c r="H248" s="35"/>
    </row>
    <row r="249" spans="1:8" x14ac:dyDescent="0.2">
      <c r="A249" s="38">
        <v>45084</v>
      </c>
      <c r="B249" s="29">
        <v>100.43</v>
      </c>
      <c r="C249" s="29">
        <f t="shared" si="6"/>
        <v>3.9296390615971642E-2</v>
      </c>
      <c r="D249" s="30">
        <v>7163.4</v>
      </c>
      <c r="E249" s="50">
        <f t="shared" si="7"/>
        <v>4.7295967265419351E-3</v>
      </c>
      <c r="F249" s="34"/>
      <c r="H249" s="35"/>
    </row>
    <row r="250" spans="1:8" x14ac:dyDescent="0.2">
      <c r="A250" s="38">
        <v>45086</v>
      </c>
      <c r="B250" s="29">
        <v>101.51</v>
      </c>
      <c r="C250" s="29">
        <f t="shared" si="6"/>
        <v>1.0696348391091978E-2</v>
      </c>
      <c r="D250" s="30">
        <v>7257.1</v>
      </c>
      <c r="E250" s="50">
        <f t="shared" si="7"/>
        <v>1.2995571402613855E-2</v>
      </c>
      <c r="F250" s="34"/>
      <c r="H250" s="35"/>
    </row>
    <row r="251" spans="1:8" x14ac:dyDescent="0.2">
      <c r="A251" s="38">
        <v>45087</v>
      </c>
      <c r="B251" s="29">
        <v>100.04</v>
      </c>
      <c r="C251" s="29">
        <f t="shared" si="6"/>
        <v>-1.45872097869214E-2</v>
      </c>
      <c r="D251" s="30">
        <v>6954.2</v>
      </c>
      <c r="E251" s="50">
        <f t="shared" si="7"/>
        <v>-4.2634506402123545E-2</v>
      </c>
      <c r="F251" s="34"/>
      <c r="H251" s="35"/>
    </row>
    <row r="252" spans="1:8" x14ac:dyDescent="0.2">
      <c r="A252" s="38">
        <v>45088</v>
      </c>
      <c r="B252" s="29">
        <v>100.42</v>
      </c>
      <c r="C252" s="29">
        <f t="shared" si="6"/>
        <v>3.7912845971411315E-3</v>
      </c>
      <c r="D252" s="30">
        <v>6997.4</v>
      </c>
      <c r="E252" s="50">
        <f t="shared" si="7"/>
        <v>6.1928578894566658E-3</v>
      </c>
      <c r="F252" s="34"/>
      <c r="H252" s="35"/>
    </row>
    <row r="253" spans="1:8" x14ac:dyDescent="0.2">
      <c r="A253" s="38">
        <v>45089</v>
      </c>
      <c r="B253" s="29">
        <v>106.34</v>
      </c>
      <c r="C253" s="29">
        <f t="shared" si="6"/>
        <v>5.7280117469632914E-2</v>
      </c>
      <c r="D253" s="30">
        <v>7178.4</v>
      </c>
      <c r="E253" s="50">
        <f t="shared" si="7"/>
        <v>2.5537865514503471E-2</v>
      </c>
      <c r="F253" s="34"/>
      <c r="H253" s="35"/>
    </row>
    <row r="254" spans="1:8" x14ac:dyDescent="0.2">
      <c r="A254" s="38">
        <v>45109</v>
      </c>
      <c r="B254" s="29">
        <v>110.3</v>
      </c>
      <c r="C254" s="29">
        <f t="shared" si="6"/>
        <v>3.6562418183264306E-2</v>
      </c>
      <c r="D254" s="30">
        <v>7504.1</v>
      </c>
      <c r="E254" s="50">
        <f t="shared" si="7"/>
        <v>4.4373020839432266E-2</v>
      </c>
      <c r="F254" s="34"/>
      <c r="H254" s="35"/>
    </row>
    <row r="255" spans="1:8" x14ac:dyDescent="0.2">
      <c r="A255" s="38">
        <v>45110</v>
      </c>
      <c r="B255" s="29">
        <v>98.9</v>
      </c>
      <c r="C255" s="29">
        <f t="shared" si="6"/>
        <v>-0.10909468763079029</v>
      </c>
      <c r="D255" s="30">
        <v>7364.7</v>
      </c>
      <c r="E255" s="50">
        <f t="shared" si="7"/>
        <v>-1.8751221953724674E-2</v>
      </c>
      <c r="F255" s="34"/>
      <c r="H255" s="35"/>
    </row>
    <row r="256" spans="1:8" x14ac:dyDescent="0.2">
      <c r="A256" s="38">
        <v>45113</v>
      </c>
      <c r="B256" s="29">
        <v>95.69</v>
      </c>
      <c r="C256" s="29">
        <f t="shared" si="6"/>
        <v>-3.299543883749502E-2</v>
      </c>
      <c r="D256" s="30">
        <v>7118</v>
      </c>
      <c r="E256" s="50">
        <f t="shared" si="7"/>
        <v>-3.407152879941739E-2</v>
      </c>
      <c r="F256" s="34"/>
      <c r="H256" s="35"/>
    </row>
    <row r="257" spans="1:8" x14ac:dyDescent="0.2">
      <c r="A257" s="38">
        <v>45114</v>
      </c>
      <c r="B257" s="29">
        <v>98.73</v>
      </c>
      <c r="C257" s="29">
        <f t="shared" si="6"/>
        <v>3.1275051832186922E-2</v>
      </c>
      <c r="D257" s="30">
        <v>7042.3</v>
      </c>
      <c r="E257" s="50">
        <f t="shared" si="7"/>
        <v>-1.0691965728904471E-2</v>
      </c>
      <c r="F257" s="34"/>
      <c r="H257" s="35"/>
    </row>
    <row r="258" spans="1:8" x14ac:dyDescent="0.2">
      <c r="A258" s="38">
        <v>45115</v>
      </c>
      <c r="B258" s="29">
        <v>101.85</v>
      </c>
      <c r="C258" s="29">
        <f t="shared" si="6"/>
        <v>3.1112291049456415E-2</v>
      </c>
      <c r="D258" s="30">
        <v>7309.2</v>
      </c>
      <c r="E258" s="50">
        <f t="shared" si="7"/>
        <v>3.7199007289205714E-2</v>
      </c>
      <c r="F258" s="34"/>
      <c r="H258" s="35"/>
    </row>
    <row r="259" spans="1:8" x14ac:dyDescent="0.2">
      <c r="A259" s="38">
        <v>45116</v>
      </c>
      <c r="B259" s="29">
        <v>100.9</v>
      </c>
      <c r="C259" s="29">
        <f t="shared" si="6"/>
        <v>-9.3712153132514079E-3</v>
      </c>
      <c r="D259" s="30">
        <v>7171</v>
      </c>
      <c r="E259" s="50">
        <f t="shared" si="7"/>
        <v>-1.9088713747864399E-2</v>
      </c>
      <c r="F259" s="34"/>
      <c r="H259" s="35"/>
    </row>
    <row r="260" spans="1:8" x14ac:dyDescent="0.2">
      <c r="A260" s="38">
        <v>45118</v>
      </c>
      <c r="B260" s="29">
        <v>100.01</v>
      </c>
      <c r="C260" s="29">
        <f t="shared" si="6"/>
        <v>-8.8597463711385469E-3</v>
      </c>
      <c r="D260" s="30">
        <v>6977.1</v>
      </c>
      <c r="E260" s="50">
        <f t="shared" si="7"/>
        <v>-2.7411757238254893E-2</v>
      </c>
      <c r="F260" s="34"/>
      <c r="H260" s="35"/>
    </row>
    <row r="261" spans="1:8" x14ac:dyDescent="0.2">
      <c r="A261" s="38">
        <v>45119</v>
      </c>
      <c r="B261" s="29">
        <v>106.27</v>
      </c>
      <c r="C261" s="29">
        <f t="shared" ref="C261:C324" si="8">LN(B261/B260)</f>
        <v>6.0712844396179071E-2</v>
      </c>
      <c r="D261" s="30">
        <v>7173.3</v>
      </c>
      <c r="E261" s="50">
        <f t="shared" ref="E261:E324" si="9">LN(D261/D260)</f>
        <v>2.7732442112345879E-2</v>
      </c>
      <c r="F261" s="34"/>
      <c r="H261" s="35"/>
    </row>
    <row r="262" spans="1:8" x14ac:dyDescent="0.2">
      <c r="A262" s="38">
        <v>45140</v>
      </c>
      <c r="B262" s="29">
        <v>110.32</v>
      </c>
      <c r="C262" s="29">
        <f t="shared" si="8"/>
        <v>3.7402208100442612E-2</v>
      </c>
      <c r="D262" s="30">
        <v>7530.1</v>
      </c>
      <c r="E262" s="50">
        <f t="shared" si="9"/>
        <v>4.8542522161575723E-2</v>
      </c>
      <c r="F262" s="34"/>
      <c r="H262" s="35"/>
    </row>
    <row r="263" spans="1:8" x14ac:dyDescent="0.2">
      <c r="A263" s="38">
        <v>45141</v>
      </c>
      <c r="B263" s="29">
        <v>98.41</v>
      </c>
      <c r="C263" s="29">
        <f t="shared" si="8"/>
        <v>-0.11424280857415219</v>
      </c>
      <c r="D263" s="30">
        <v>7307.8</v>
      </c>
      <c r="E263" s="50">
        <f t="shared" si="9"/>
        <v>-2.9966051063581262E-2</v>
      </c>
      <c r="F263" s="34"/>
      <c r="H263" s="35"/>
    </row>
    <row r="264" spans="1:8" x14ac:dyDescent="0.2">
      <c r="A264" s="38">
        <v>45143</v>
      </c>
      <c r="B264" s="29">
        <v>97.12</v>
      </c>
      <c r="C264" s="29">
        <f t="shared" si="8"/>
        <v>-1.3195097599705941E-2</v>
      </c>
      <c r="D264" s="30">
        <v>7276.5</v>
      </c>
      <c r="E264" s="50">
        <f t="shared" si="9"/>
        <v>-4.2922935012793071E-3</v>
      </c>
      <c r="F264" s="34"/>
      <c r="H264" s="35"/>
    </row>
    <row r="265" spans="1:8" x14ac:dyDescent="0.2">
      <c r="A265" s="38">
        <v>45144</v>
      </c>
      <c r="B265" s="29">
        <v>95.89</v>
      </c>
      <c r="C265" s="29">
        <f t="shared" si="8"/>
        <v>-1.2745626145598337E-2</v>
      </c>
      <c r="D265" s="30">
        <v>7099.7</v>
      </c>
      <c r="E265" s="50">
        <f t="shared" si="9"/>
        <v>-2.4597447737806137E-2</v>
      </c>
      <c r="F265" s="34"/>
      <c r="H265" s="35"/>
    </row>
    <row r="266" spans="1:8" x14ac:dyDescent="0.2">
      <c r="A266" s="38">
        <v>45146</v>
      </c>
      <c r="B266" s="29">
        <v>102.21</v>
      </c>
      <c r="C266" s="29">
        <f t="shared" si="8"/>
        <v>6.3827819175395012E-2</v>
      </c>
      <c r="D266" s="30">
        <v>7311.1</v>
      </c>
      <c r="E266" s="50">
        <f t="shared" si="9"/>
        <v>2.9341211603620604E-2</v>
      </c>
      <c r="F266" s="34"/>
      <c r="H266" s="35"/>
    </row>
    <row r="267" spans="1:8" x14ac:dyDescent="0.2">
      <c r="A267" s="38">
        <v>45147</v>
      </c>
      <c r="B267" s="29">
        <v>100.81</v>
      </c>
      <c r="C267" s="29">
        <f t="shared" si="8"/>
        <v>-1.3791963275134631E-2</v>
      </c>
      <c r="D267" s="30">
        <v>7156.7</v>
      </c>
      <c r="E267" s="50">
        <f t="shared" si="9"/>
        <v>-2.1344760363471681E-2</v>
      </c>
      <c r="F267" s="34"/>
      <c r="H267" s="35"/>
    </row>
    <row r="268" spans="1:8" x14ac:dyDescent="0.2">
      <c r="A268" s="38">
        <v>45149</v>
      </c>
      <c r="B268" s="29">
        <v>100.69</v>
      </c>
      <c r="C268" s="29">
        <f t="shared" si="8"/>
        <v>-1.1910671383266777E-3</v>
      </c>
      <c r="D268" s="30">
        <v>6995.4</v>
      </c>
      <c r="E268" s="50">
        <f t="shared" si="9"/>
        <v>-2.279619068842325E-2</v>
      </c>
      <c r="F268" s="34"/>
      <c r="H268" s="35"/>
    </row>
    <row r="269" spans="1:8" x14ac:dyDescent="0.2">
      <c r="A269" s="38">
        <v>45150</v>
      </c>
      <c r="B269" s="29">
        <v>106.44</v>
      </c>
      <c r="C269" s="29">
        <f t="shared" si="8"/>
        <v>5.5534956181964988E-2</v>
      </c>
      <c r="D269" s="30">
        <v>7194.9</v>
      </c>
      <c r="E269" s="50">
        <f t="shared" si="9"/>
        <v>2.81196515169287E-2</v>
      </c>
      <c r="F269" s="34"/>
      <c r="H269" s="35"/>
    </row>
    <row r="270" spans="1:8" x14ac:dyDescent="0.2">
      <c r="A270" s="38">
        <v>45170</v>
      </c>
      <c r="B270" s="29">
        <v>103.32</v>
      </c>
      <c r="C270" s="29">
        <f t="shared" si="8"/>
        <v>-2.9750477881848682E-2</v>
      </c>
      <c r="D270" s="30">
        <v>7151.3</v>
      </c>
      <c r="E270" s="50">
        <f t="shared" si="9"/>
        <v>-6.0782833412801234E-3</v>
      </c>
      <c r="F270" s="34"/>
      <c r="H270" s="35"/>
    </row>
    <row r="271" spans="1:8" x14ac:dyDescent="0.2">
      <c r="A271" s="38">
        <v>45171</v>
      </c>
      <c r="B271" s="29">
        <v>110.21</v>
      </c>
      <c r="C271" s="29">
        <f t="shared" si="8"/>
        <v>6.455666847581075E-2</v>
      </c>
      <c r="D271" s="30">
        <v>7490.3</v>
      </c>
      <c r="E271" s="50">
        <f t="shared" si="9"/>
        <v>4.6314691770739144E-2</v>
      </c>
      <c r="F271" s="34"/>
      <c r="H271" s="35"/>
    </row>
    <row r="272" spans="1:8" x14ac:dyDescent="0.2">
      <c r="A272" s="38">
        <v>45172</v>
      </c>
      <c r="B272" s="29">
        <v>98.72</v>
      </c>
      <c r="C272" s="29">
        <f t="shared" si="8"/>
        <v>-0.11010007654637288</v>
      </c>
      <c r="D272" s="30">
        <v>7311.1</v>
      </c>
      <c r="E272" s="50">
        <f t="shared" si="9"/>
        <v>-2.4215108894492878E-2</v>
      </c>
      <c r="F272" s="34"/>
      <c r="H272" s="35"/>
    </row>
    <row r="273" spans="1:8" x14ac:dyDescent="0.2">
      <c r="A273" s="38">
        <v>45174</v>
      </c>
      <c r="B273" s="29">
        <v>97.34</v>
      </c>
      <c r="C273" s="29">
        <f t="shared" si="8"/>
        <v>-1.4077555751769402E-2</v>
      </c>
      <c r="D273" s="30">
        <v>7264.1</v>
      </c>
      <c r="E273" s="50">
        <f t="shared" si="9"/>
        <v>-6.4493335130001222E-3</v>
      </c>
      <c r="F273" s="34"/>
      <c r="H273" s="35"/>
    </row>
    <row r="274" spans="1:8" x14ac:dyDescent="0.2">
      <c r="A274" s="38">
        <v>45175</v>
      </c>
      <c r="B274" s="29">
        <v>95.8</v>
      </c>
      <c r="C274" s="29">
        <f t="shared" si="8"/>
        <v>-1.5947319428493444E-2</v>
      </c>
      <c r="D274" s="30">
        <v>7122.5</v>
      </c>
      <c r="E274" s="50">
        <f t="shared" si="9"/>
        <v>-1.9685620334131983E-2</v>
      </c>
      <c r="F274" s="34"/>
      <c r="H274" s="35"/>
    </row>
    <row r="275" spans="1:8" x14ac:dyDescent="0.2">
      <c r="A275" s="38">
        <v>45177</v>
      </c>
      <c r="B275" s="29">
        <v>104.85</v>
      </c>
      <c r="C275" s="29">
        <f t="shared" si="8"/>
        <v>9.0268072371114019E-2</v>
      </c>
      <c r="D275" s="30">
        <v>7338</v>
      </c>
      <c r="E275" s="50">
        <f t="shared" si="9"/>
        <v>2.9807538543164102E-2</v>
      </c>
      <c r="F275" s="34"/>
      <c r="H275" s="35"/>
    </row>
    <row r="276" spans="1:8" x14ac:dyDescent="0.2">
      <c r="A276" s="38">
        <v>45179</v>
      </c>
      <c r="B276" s="29">
        <v>100.03</v>
      </c>
      <c r="C276" s="29">
        <f t="shared" si="8"/>
        <v>-4.7060616350839538E-2</v>
      </c>
      <c r="D276" s="30">
        <v>6970.2</v>
      </c>
      <c r="E276" s="50">
        <f t="shared" si="9"/>
        <v>-5.1422407167743281E-2</v>
      </c>
      <c r="F276" s="34"/>
      <c r="H276" s="35"/>
    </row>
    <row r="277" spans="1:8" x14ac:dyDescent="0.2">
      <c r="A277" s="38">
        <v>45180</v>
      </c>
      <c r="B277" s="29">
        <v>102.11</v>
      </c>
      <c r="C277" s="29">
        <f t="shared" si="8"/>
        <v>2.0580522570357137E-2</v>
      </c>
      <c r="D277" s="30">
        <v>7014.9</v>
      </c>
      <c r="E277" s="50">
        <f t="shared" si="9"/>
        <v>6.3925395199731627E-3</v>
      </c>
      <c r="F277" s="34"/>
      <c r="H277" s="35"/>
    </row>
    <row r="278" spans="1:8" x14ac:dyDescent="0.2">
      <c r="A278" s="38">
        <v>45200</v>
      </c>
      <c r="B278" s="29">
        <v>103.32</v>
      </c>
      <c r="C278" s="29">
        <f t="shared" si="8"/>
        <v>1.1780304660193095E-2</v>
      </c>
      <c r="D278" s="30">
        <v>7131</v>
      </c>
      <c r="E278" s="50">
        <f t="shared" si="9"/>
        <v>1.6415018760846525E-2</v>
      </c>
      <c r="F278" s="34"/>
      <c r="H278" s="35"/>
    </row>
    <row r="279" spans="1:8" x14ac:dyDescent="0.2">
      <c r="A279" s="38">
        <v>45201</v>
      </c>
      <c r="B279" s="29">
        <v>109.95</v>
      </c>
      <c r="C279" s="29">
        <f t="shared" si="8"/>
        <v>6.219474877313063E-2</v>
      </c>
      <c r="D279" s="30">
        <v>7433.7</v>
      </c>
      <c r="E279" s="50">
        <f t="shared" si="9"/>
        <v>4.1572238889502934E-2</v>
      </c>
      <c r="F279" s="34"/>
      <c r="H279" s="35"/>
    </row>
    <row r="280" spans="1:8" x14ac:dyDescent="0.2">
      <c r="A280" s="38">
        <v>45202</v>
      </c>
      <c r="B280" s="29">
        <v>95.51</v>
      </c>
      <c r="C280" s="29">
        <f t="shared" si="8"/>
        <v>-0.14079476295412391</v>
      </c>
      <c r="D280" s="30">
        <v>7144.7</v>
      </c>
      <c r="E280" s="50">
        <f t="shared" si="9"/>
        <v>-3.9652892839113399E-2</v>
      </c>
      <c r="F280" s="34"/>
      <c r="H280" s="35"/>
    </row>
    <row r="281" spans="1:8" x14ac:dyDescent="0.2">
      <c r="A281" s="38">
        <v>45204</v>
      </c>
      <c r="B281" s="29">
        <v>97.85</v>
      </c>
      <c r="C281" s="29">
        <f t="shared" si="8"/>
        <v>2.420473979543903E-2</v>
      </c>
      <c r="D281" s="30">
        <v>7255.7</v>
      </c>
      <c r="E281" s="50">
        <f t="shared" si="9"/>
        <v>1.541654376783186E-2</v>
      </c>
      <c r="F281" s="34"/>
      <c r="H281" s="35"/>
    </row>
    <row r="282" spans="1:8" x14ac:dyDescent="0.2">
      <c r="A282" s="38">
        <v>45206</v>
      </c>
      <c r="B282" s="29">
        <v>98.52</v>
      </c>
      <c r="C282" s="29">
        <f t="shared" si="8"/>
        <v>6.8238794102520144E-3</v>
      </c>
      <c r="D282" s="30">
        <v>7004</v>
      </c>
      <c r="E282" s="50">
        <f t="shared" si="9"/>
        <v>-3.5305952440782544E-2</v>
      </c>
      <c r="F282" s="34"/>
      <c r="H282" s="35"/>
    </row>
    <row r="283" spans="1:8" x14ac:dyDescent="0.2">
      <c r="A283" s="38">
        <v>45207</v>
      </c>
      <c r="B283" s="29">
        <v>104.47</v>
      </c>
      <c r="C283" s="29">
        <f t="shared" si="8"/>
        <v>5.8640375597079526E-2</v>
      </c>
      <c r="D283" s="30">
        <v>7357.4</v>
      </c>
      <c r="E283" s="50">
        <f t="shared" si="9"/>
        <v>4.9225195036294488E-2</v>
      </c>
      <c r="F283" s="34"/>
      <c r="H283" s="35"/>
    </row>
    <row r="284" spans="1:8" x14ac:dyDescent="0.2">
      <c r="A284" s="38">
        <v>45209</v>
      </c>
      <c r="B284" s="29">
        <v>100.7</v>
      </c>
      <c r="C284" s="29">
        <f t="shared" si="8"/>
        <v>-3.6754149124899972E-2</v>
      </c>
      <c r="D284" s="30">
        <v>7040.6</v>
      </c>
      <c r="E284" s="50">
        <f t="shared" si="9"/>
        <v>-4.4013215648859162E-2</v>
      </c>
      <c r="F284" s="34"/>
      <c r="H284" s="35"/>
    </row>
    <row r="285" spans="1:8" x14ac:dyDescent="0.2">
      <c r="A285" s="38">
        <v>45210</v>
      </c>
      <c r="B285" s="29">
        <v>101.32</v>
      </c>
      <c r="C285" s="29">
        <f t="shared" si="8"/>
        <v>6.1380254089577558E-3</v>
      </c>
      <c r="D285" s="30">
        <v>6976.5</v>
      </c>
      <c r="E285" s="50">
        <f t="shared" si="9"/>
        <v>-9.1460354609163054E-3</v>
      </c>
      <c r="F285" s="34"/>
      <c r="H285" s="35"/>
    </row>
    <row r="286" spans="1:8" x14ac:dyDescent="0.2">
      <c r="A286" s="38">
        <v>45231</v>
      </c>
      <c r="B286" s="29">
        <v>103.53</v>
      </c>
      <c r="C286" s="29">
        <f t="shared" si="8"/>
        <v>2.1577600644547369E-2</v>
      </c>
      <c r="D286" s="30">
        <v>7195.3</v>
      </c>
      <c r="E286" s="50">
        <f t="shared" si="9"/>
        <v>3.0880676741928292E-2</v>
      </c>
      <c r="F286" s="34"/>
      <c r="H286" s="35"/>
    </row>
    <row r="287" spans="1:8" x14ac:dyDescent="0.2">
      <c r="A287" s="38">
        <v>45234</v>
      </c>
      <c r="B287" s="29">
        <v>99.76</v>
      </c>
      <c r="C287" s="29">
        <f t="shared" si="8"/>
        <v>-3.7094124406240707E-2</v>
      </c>
      <c r="D287" s="30">
        <v>7309.9</v>
      </c>
      <c r="E287" s="50">
        <f t="shared" si="9"/>
        <v>1.5801558685503137E-2</v>
      </c>
      <c r="F287" s="34"/>
      <c r="H287" s="35"/>
    </row>
    <row r="288" spans="1:8" x14ac:dyDescent="0.2">
      <c r="A288" s="38">
        <v>45235</v>
      </c>
      <c r="B288" s="29">
        <v>98.35</v>
      </c>
      <c r="C288" s="29">
        <f t="shared" si="8"/>
        <v>-1.423475653671308E-2</v>
      </c>
      <c r="D288" s="30">
        <v>7251.9</v>
      </c>
      <c r="E288" s="50">
        <f t="shared" si="9"/>
        <v>-7.9660902795279029E-3</v>
      </c>
      <c r="F288" s="34"/>
      <c r="H288" s="35"/>
    </row>
    <row r="289" spans="1:8" x14ac:dyDescent="0.2">
      <c r="A289" s="38">
        <v>45237</v>
      </c>
      <c r="B289" s="29">
        <v>99.62</v>
      </c>
      <c r="C289" s="29">
        <f t="shared" si="8"/>
        <v>1.2830402810069332E-2</v>
      </c>
      <c r="D289" s="30">
        <v>7108.9</v>
      </c>
      <c r="E289" s="50">
        <f t="shared" si="9"/>
        <v>-1.9915983325662769E-2</v>
      </c>
      <c r="F289" s="34"/>
      <c r="H289" s="35"/>
    </row>
    <row r="290" spans="1:8" x14ac:dyDescent="0.2">
      <c r="A290" s="38">
        <v>45238</v>
      </c>
      <c r="B290" s="29">
        <v>104.4</v>
      </c>
      <c r="C290" s="29">
        <f t="shared" si="8"/>
        <v>4.6866727803400961E-2</v>
      </c>
      <c r="D290" s="30">
        <v>7340.1</v>
      </c>
      <c r="E290" s="50">
        <f t="shared" si="9"/>
        <v>3.2004946339455498E-2</v>
      </c>
      <c r="F290" s="34"/>
      <c r="H290" s="35"/>
    </row>
    <row r="291" spans="1:8" x14ac:dyDescent="0.2">
      <c r="A291" s="38">
        <v>45239</v>
      </c>
      <c r="B291" s="29">
        <v>102.04</v>
      </c>
      <c r="C291" s="29">
        <f t="shared" si="8"/>
        <v>-2.2864782174927645E-2</v>
      </c>
      <c r="D291" s="30">
        <v>7192.3</v>
      </c>
      <c r="E291" s="50">
        <f t="shared" si="9"/>
        <v>-2.0341457198004266E-2</v>
      </c>
      <c r="F291" s="34"/>
      <c r="H291" s="35"/>
    </row>
    <row r="292" spans="1:8" x14ac:dyDescent="0.2">
      <c r="A292" s="38">
        <v>45240</v>
      </c>
      <c r="B292" s="29">
        <v>100.64</v>
      </c>
      <c r="C292" s="29">
        <f t="shared" si="8"/>
        <v>-1.3815100321480284E-2</v>
      </c>
      <c r="D292" s="30">
        <v>7088.4</v>
      </c>
      <c r="E292" s="50">
        <f t="shared" si="9"/>
        <v>-1.4551364194763357E-2</v>
      </c>
      <c r="F292" s="34"/>
      <c r="H292" s="35"/>
    </row>
    <row r="293" spans="1:8" x14ac:dyDescent="0.2">
      <c r="A293" s="38">
        <v>45242</v>
      </c>
      <c r="B293" s="29">
        <v>106.94</v>
      </c>
      <c r="C293" s="29">
        <f t="shared" si="8"/>
        <v>6.0718136568455067E-2</v>
      </c>
      <c r="D293" s="30">
        <v>7199</v>
      </c>
      <c r="E293" s="50">
        <f t="shared" si="9"/>
        <v>1.5482482368113016E-2</v>
      </c>
      <c r="F293" s="34"/>
      <c r="H293" s="35"/>
    </row>
    <row r="294" spans="1:8" x14ac:dyDescent="0.2">
      <c r="A294" s="38">
        <v>45261</v>
      </c>
      <c r="B294" s="29">
        <v>105.18</v>
      </c>
      <c r="C294" s="29">
        <f t="shared" si="8"/>
        <v>-1.6594761359387322E-2</v>
      </c>
      <c r="D294" s="30">
        <v>7280.4</v>
      </c>
      <c r="E294" s="50">
        <f t="shared" si="9"/>
        <v>1.1243678266949598E-2</v>
      </c>
      <c r="F294" s="34"/>
      <c r="H294" s="35"/>
    </row>
    <row r="295" spans="1:8" x14ac:dyDescent="0.2">
      <c r="A295" s="38">
        <v>45264</v>
      </c>
      <c r="B295" s="29">
        <v>99.23</v>
      </c>
      <c r="C295" s="29">
        <f t="shared" si="8"/>
        <v>-5.8232780235047993E-2</v>
      </c>
      <c r="D295" s="30">
        <v>7343.9</v>
      </c>
      <c r="E295" s="50">
        <f t="shared" si="9"/>
        <v>8.6842309136335311E-3</v>
      </c>
      <c r="F295" s="34"/>
      <c r="H295" s="35"/>
    </row>
    <row r="296" spans="1:8" x14ac:dyDescent="0.2">
      <c r="A296" s="38">
        <v>45265</v>
      </c>
      <c r="B296" s="29">
        <v>98.96</v>
      </c>
      <c r="C296" s="29">
        <f t="shared" si="8"/>
        <v>-2.7246598419178336E-3</v>
      </c>
      <c r="D296" s="30">
        <v>7256.7</v>
      </c>
      <c r="E296" s="50">
        <f t="shared" si="9"/>
        <v>-1.1944856622690257E-2</v>
      </c>
      <c r="F296" s="34"/>
      <c r="H296" s="35"/>
    </row>
    <row r="297" spans="1:8" x14ac:dyDescent="0.2">
      <c r="A297" s="38">
        <v>45267</v>
      </c>
      <c r="B297" s="29">
        <v>99.15</v>
      </c>
      <c r="C297" s="29">
        <f t="shared" si="8"/>
        <v>1.9181268815727439E-3</v>
      </c>
      <c r="D297" s="30">
        <v>7135.7</v>
      </c>
      <c r="E297" s="50">
        <f t="shared" si="9"/>
        <v>-1.6814826009815452E-2</v>
      </c>
      <c r="F297" s="34"/>
      <c r="H297" s="35"/>
    </row>
    <row r="298" spans="1:8" x14ac:dyDescent="0.2">
      <c r="A298" s="38">
        <v>45269</v>
      </c>
      <c r="B298" s="29">
        <v>102.11</v>
      </c>
      <c r="C298" s="29">
        <f t="shared" si="8"/>
        <v>2.9416808601641468E-2</v>
      </c>
      <c r="D298" s="30">
        <v>7206.9</v>
      </c>
      <c r="E298" s="50">
        <f t="shared" si="9"/>
        <v>9.9285464118787897E-3</v>
      </c>
      <c r="F298" s="34"/>
      <c r="H298" s="35"/>
    </row>
    <row r="299" spans="1:8" x14ac:dyDescent="0.2">
      <c r="A299" s="38">
        <v>45270</v>
      </c>
      <c r="B299" s="29">
        <v>101.6</v>
      </c>
      <c r="C299" s="29">
        <f t="shared" si="8"/>
        <v>-5.0071284230650825E-3</v>
      </c>
      <c r="D299" s="30">
        <v>7091</v>
      </c>
      <c r="E299" s="50">
        <f t="shared" si="9"/>
        <v>-1.6212526125262326E-2</v>
      </c>
      <c r="F299" s="34"/>
      <c r="H299" s="35"/>
    </row>
    <row r="300" spans="1:8" x14ac:dyDescent="0.2">
      <c r="A300" s="38">
        <v>45272</v>
      </c>
      <c r="B300" s="29">
        <v>107.41</v>
      </c>
      <c r="C300" s="29">
        <f t="shared" si="8"/>
        <v>5.5609752465574168E-2</v>
      </c>
      <c r="D300" s="30">
        <v>7235.3</v>
      </c>
      <c r="E300" s="50">
        <f t="shared" si="9"/>
        <v>2.0145450002141345E-2</v>
      </c>
      <c r="F300" s="34"/>
      <c r="H300" s="35"/>
    </row>
    <row r="301" spans="1:8" x14ac:dyDescent="0.2">
      <c r="A301" s="38">
        <v>45293</v>
      </c>
      <c r="B301" s="29">
        <v>114.1</v>
      </c>
      <c r="C301" s="29">
        <f t="shared" si="8"/>
        <v>6.0421969258074311E-2</v>
      </c>
      <c r="D301" s="30">
        <v>7588.2</v>
      </c>
      <c r="E301" s="50">
        <f t="shared" si="9"/>
        <v>4.7622584807847611E-2</v>
      </c>
      <c r="F301" s="34"/>
      <c r="H301" s="35"/>
    </row>
    <row r="302" spans="1:8" x14ac:dyDescent="0.2">
      <c r="A302" s="38">
        <v>45294</v>
      </c>
      <c r="B302" s="29">
        <v>117.36</v>
      </c>
      <c r="C302" s="29">
        <f t="shared" si="8"/>
        <v>2.8170876966696439E-2</v>
      </c>
      <c r="D302" s="30">
        <v>7745.6</v>
      </c>
      <c r="E302" s="50">
        <f t="shared" si="9"/>
        <v>2.0530531071444199E-2</v>
      </c>
      <c r="F302" s="34"/>
      <c r="H302" s="35"/>
    </row>
    <row r="303" spans="1:8" x14ac:dyDescent="0.2">
      <c r="A303" s="38">
        <v>45296</v>
      </c>
      <c r="B303" s="29">
        <v>113.92</v>
      </c>
      <c r="C303" s="29">
        <f t="shared" si="8"/>
        <v>-2.9749686171060646E-2</v>
      </c>
      <c r="D303" s="30">
        <v>7569.9</v>
      </c>
      <c r="E303" s="50">
        <f t="shared" si="9"/>
        <v>-2.2945082880819062E-2</v>
      </c>
      <c r="F303" s="34"/>
      <c r="H303" s="35"/>
    </row>
    <row r="304" spans="1:8" x14ac:dyDescent="0.2">
      <c r="A304" s="38">
        <v>45298</v>
      </c>
      <c r="B304" s="29">
        <v>126.2</v>
      </c>
      <c r="C304" s="29">
        <f t="shared" si="8"/>
        <v>0.10237150244344723</v>
      </c>
      <c r="D304" s="30">
        <v>7750.7</v>
      </c>
      <c r="E304" s="50">
        <f t="shared" si="9"/>
        <v>2.3603304544588255E-2</v>
      </c>
      <c r="F304" s="34"/>
      <c r="H304" s="35"/>
    </row>
    <row r="305" spans="1:8" x14ac:dyDescent="0.2">
      <c r="A305" s="38">
        <v>45299</v>
      </c>
      <c r="B305" s="29">
        <v>136.27000000000001</v>
      </c>
      <c r="C305" s="29">
        <f t="shared" si="8"/>
        <v>7.6770261654616617E-2</v>
      </c>
      <c r="D305" s="30">
        <v>8114.7</v>
      </c>
      <c r="E305" s="50">
        <f t="shared" si="9"/>
        <v>4.5894069839428016E-2</v>
      </c>
      <c r="F305" s="34"/>
      <c r="H305" s="35"/>
    </row>
    <row r="306" spans="1:8" x14ac:dyDescent="0.2">
      <c r="A306" s="38">
        <v>45301</v>
      </c>
      <c r="B306" s="29">
        <v>133.34</v>
      </c>
      <c r="C306" s="29">
        <f t="shared" si="8"/>
        <v>-2.1735954571815534E-2</v>
      </c>
      <c r="D306" s="30">
        <v>8208.9</v>
      </c>
      <c r="E306" s="50">
        <f t="shared" si="9"/>
        <v>1.1541699833704953E-2</v>
      </c>
      <c r="F306" s="34"/>
      <c r="H306" s="35"/>
    </row>
    <row r="307" spans="1:8" x14ac:dyDescent="0.2">
      <c r="A307" s="38">
        <v>45302</v>
      </c>
      <c r="B307" s="29">
        <v>142.09</v>
      </c>
      <c r="C307" s="29">
        <f t="shared" si="8"/>
        <v>6.3558402460069899E-2</v>
      </c>
      <c r="D307" s="30">
        <v>8118.8</v>
      </c>
      <c r="E307" s="50">
        <f t="shared" si="9"/>
        <v>-1.103657153886055E-2</v>
      </c>
      <c r="F307" s="34"/>
      <c r="H307" s="35"/>
    </row>
    <row r="308" spans="1:8" x14ac:dyDescent="0.2">
      <c r="A308" s="38">
        <v>45323</v>
      </c>
      <c r="B308" s="29">
        <v>113.61</v>
      </c>
      <c r="C308" s="29">
        <f t="shared" si="8"/>
        <v>-0.22368912906817076</v>
      </c>
      <c r="D308" s="30">
        <v>7627.8</v>
      </c>
      <c r="E308" s="50">
        <f t="shared" si="9"/>
        <v>-6.2382891799339708E-2</v>
      </c>
      <c r="F308" s="34"/>
      <c r="H308" s="35"/>
    </row>
    <row r="309" spans="1:8" x14ac:dyDescent="0.2">
      <c r="A309" s="38">
        <v>45324</v>
      </c>
      <c r="B309" s="29">
        <v>115.81</v>
      </c>
      <c r="C309" s="29">
        <f t="shared" si="8"/>
        <v>1.9179386614473156E-2</v>
      </c>
      <c r="D309" s="30">
        <v>7699.4</v>
      </c>
      <c r="E309" s="50">
        <f t="shared" si="9"/>
        <v>9.3429355436384053E-3</v>
      </c>
      <c r="F309" s="34"/>
      <c r="H309" s="35"/>
    </row>
    <row r="310" spans="1:8" x14ac:dyDescent="0.2">
      <c r="A310" s="38">
        <v>45326</v>
      </c>
      <c r="B310" s="29">
        <v>120.07</v>
      </c>
      <c r="C310" s="29">
        <f t="shared" si="8"/>
        <v>3.6123988846340174E-2</v>
      </c>
      <c r="D310" s="30">
        <v>7887.9</v>
      </c>
      <c r="E310" s="50">
        <f t="shared" si="9"/>
        <v>2.4187535989553959E-2</v>
      </c>
      <c r="F310" s="34"/>
      <c r="H310" s="35"/>
    </row>
    <row r="311" spans="1:8" x14ac:dyDescent="0.2">
      <c r="A311" s="38">
        <v>45327</v>
      </c>
      <c r="B311" s="29">
        <v>115</v>
      </c>
      <c r="C311" s="29">
        <f t="shared" si="8"/>
        <v>-4.3142777679376562E-2</v>
      </c>
      <c r="D311" s="30">
        <v>7587</v>
      </c>
      <c r="E311" s="50">
        <f t="shared" si="9"/>
        <v>-3.889368337924947E-2</v>
      </c>
      <c r="F311" s="34"/>
      <c r="H311" s="35"/>
    </row>
    <row r="312" spans="1:8" x14ac:dyDescent="0.2">
      <c r="A312" s="38">
        <v>45329</v>
      </c>
      <c r="B312" s="29">
        <v>125.66</v>
      </c>
      <c r="C312" s="29">
        <f t="shared" si="8"/>
        <v>8.8647718611550921E-2</v>
      </c>
      <c r="D312" s="30">
        <v>7718.2</v>
      </c>
      <c r="E312" s="50">
        <f t="shared" si="9"/>
        <v>1.7144919872821584E-2</v>
      </c>
      <c r="F312" s="34"/>
      <c r="H312" s="35"/>
    </row>
    <row r="313" spans="1:8" x14ac:dyDescent="0.2">
      <c r="A313" s="38">
        <v>45330</v>
      </c>
      <c r="B313" s="29">
        <v>132.46</v>
      </c>
      <c r="C313" s="29">
        <f t="shared" si="8"/>
        <v>5.2700866082032456E-2</v>
      </c>
      <c r="D313" s="30">
        <v>7943.2</v>
      </c>
      <c r="E313" s="50">
        <f t="shared" si="9"/>
        <v>2.8735040508487731E-2</v>
      </c>
      <c r="F313" s="34"/>
      <c r="H313" s="35"/>
    </row>
    <row r="314" spans="1:8" x14ac:dyDescent="0.2">
      <c r="A314" s="38">
        <v>45331</v>
      </c>
      <c r="B314" s="29">
        <v>141.77000000000001</v>
      </c>
      <c r="C314" s="29">
        <f t="shared" si="8"/>
        <v>6.7925313072706772E-2</v>
      </c>
      <c r="D314" s="30">
        <v>8109.9</v>
      </c>
      <c r="E314" s="50">
        <f t="shared" si="9"/>
        <v>2.0769320857826713E-2</v>
      </c>
      <c r="F314" s="34"/>
      <c r="H314" s="35"/>
    </row>
    <row r="315" spans="1:8" x14ac:dyDescent="0.2">
      <c r="A315" s="38">
        <v>45332</v>
      </c>
      <c r="B315" s="29">
        <v>134.19</v>
      </c>
      <c r="C315" s="29">
        <f t="shared" si="8"/>
        <v>-5.4949320016673825E-2</v>
      </c>
      <c r="D315" s="30">
        <v>8198.2000000000007</v>
      </c>
      <c r="E315" s="50">
        <f t="shared" si="9"/>
        <v>1.0829080383683479E-2</v>
      </c>
      <c r="F315" s="34"/>
      <c r="H315" s="35"/>
    </row>
    <row r="316" spans="1:8" x14ac:dyDescent="0.2">
      <c r="A316" s="38">
        <v>45334</v>
      </c>
      <c r="B316" s="29">
        <v>158.19</v>
      </c>
      <c r="C316" s="29">
        <f t="shared" si="8"/>
        <v>0.16454013609762169</v>
      </c>
      <c r="D316" s="30">
        <v>8447.9</v>
      </c>
      <c r="E316" s="50">
        <f t="shared" si="9"/>
        <v>3.000327179387683E-2</v>
      </c>
      <c r="F316" s="34"/>
      <c r="H316" s="35"/>
    </row>
    <row r="317" spans="1:8" x14ac:dyDescent="0.2">
      <c r="A317" s="38">
        <v>45352</v>
      </c>
      <c r="B317" s="29">
        <v>112.13</v>
      </c>
      <c r="C317" s="29">
        <f t="shared" si="8"/>
        <v>-0.3441379297376988</v>
      </c>
      <c r="D317" s="30">
        <v>7523.2</v>
      </c>
      <c r="E317" s="50">
        <f t="shared" si="9"/>
        <v>-0.11592631040902089</v>
      </c>
      <c r="F317" s="34"/>
      <c r="H317" s="35"/>
    </row>
    <row r="318" spans="1:8" x14ac:dyDescent="0.2">
      <c r="A318" s="38">
        <v>45355</v>
      </c>
      <c r="B318" s="29">
        <v>117.81</v>
      </c>
      <c r="C318" s="29">
        <f t="shared" si="8"/>
        <v>4.941424478523871E-2</v>
      </c>
      <c r="D318" s="30">
        <v>7782.5</v>
      </c>
      <c r="E318" s="50">
        <f t="shared" si="9"/>
        <v>3.3886043970012839E-2</v>
      </c>
      <c r="F318" s="34"/>
      <c r="H318" s="35"/>
    </row>
    <row r="319" spans="1:8" x14ac:dyDescent="0.2">
      <c r="A319" s="38">
        <v>45356</v>
      </c>
      <c r="B319" s="29">
        <v>115.23</v>
      </c>
      <c r="C319" s="29">
        <f t="shared" si="8"/>
        <v>-2.2143026232104825E-2</v>
      </c>
      <c r="D319" s="30">
        <v>7629</v>
      </c>
      <c r="E319" s="50">
        <f t="shared" si="9"/>
        <v>-1.9920848225533888E-2</v>
      </c>
      <c r="F319" s="34"/>
      <c r="H319" s="35"/>
    </row>
    <row r="320" spans="1:8" x14ac:dyDescent="0.2">
      <c r="A320" s="38">
        <v>45357</v>
      </c>
      <c r="B320" s="29">
        <v>121.29</v>
      </c>
      <c r="C320" s="29">
        <f t="shared" si="8"/>
        <v>5.1254241294866144E-2</v>
      </c>
      <c r="D320" s="30">
        <v>7761</v>
      </c>
      <c r="E320" s="50">
        <f t="shared" si="9"/>
        <v>1.71544167639094E-2</v>
      </c>
      <c r="F320" s="34"/>
      <c r="H320" s="35"/>
    </row>
    <row r="321" spans="1:8" x14ac:dyDescent="0.2">
      <c r="A321" s="38">
        <v>45358</v>
      </c>
      <c r="B321" s="29">
        <v>125.38</v>
      </c>
      <c r="C321" s="29">
        <f t="shared" si="8"/>
        <v>3.3164753525033126E-2</v>
      </c>
      <c r="D321" s="30">
        <v>7739.9</v>
      </c>
      <c r="E321" s="50">
        <f t="shared" si="9"/>
        <v>-2.7224242504695312E-3</v>
      </c>
      <c r="F321" s="34"/>
      <c r="H321" s="35"/>
    </row>
    <row r="322" spans="1:8" x14ac:dyDescent="0.2">
      <c r="A322" s="38">
        <v>45360</v>
      </c>
      <c r="B322" s="29">
        <v>143.38</v>
      </c>
      <c r="C322" s="29">
        <f t="shared" si="8"/>
        <v>0.13414932257890369</v>
      </c>
      <c r="D322" s="30">
        <v>8103.2</v>
      </c>
      <c r="E322" s="50">
        <f t="shared" si="9"/>
        <v>4.5870277768918055E-2</v>
      </c>
      <c r="F322" s="34"/>
      <c r="H322" s="35"/>
    </row>
    <row r="323" spans="1:8" x14ac:dyDescent="0.2">
      <c r="A323" s="38">
        <v>45361</v>
      </c>
      <c r="B323" s="29">
        <v>134.61000000000001</v>
      </c>
      <c r="C323" s="29">
        <f t="shared" si="8"/>
        <v>-6.3116739768724381E-2</v>
      </c>
      <c r="D323" s="30">
        <v>8205.2000000000007</v>
      </c>
      <c r="E323" s="50">
        <f t="shared" si="9"/>
        <v>1.2509054235394427E-2</v>
      </c>
      <c r="F323" s="34"/>
      <c r="H323" s="35"/>
    </row>
    <row r="324" spans="1:8" x14ac:dyDescent="0.2">
      <c r="A324" s="38">
        <v>45363</v>
      </c>
      <c r="B324" s="29">
        <v>157.78</v>
      </c>
      <c r="C324" s="29">
        <f t="shared" si="8"/>
        <v>0.15881994901094185</v>
      </c>
      <c r="D324" s="30">
        <v>8495.2000000000007</v>
      </c>
      <c r="E324" s="50">
        <f t="shared" si="9"/>
        <v>3.4733198481653862E-2</v>
      </c>
      <c r="F324" s="34"/>
      <c r="H324" s="35"/>
    </row>
    <row r="325" spans="1:8" x14ac:dyDescent="0.2">
      <c r="A325" s="38">
        <v>45383</v>
      </c>
      <c r="B325" s="29">
        <v>111.49</v>
      </c>
      <c r="C325" s="29">
        <f t="shared" ref="C325:C388" si="10">LN(B325/B324)</f>
        <v>-0.3472667568874635</v>
      </c>
      <c r="D325" s="30">
        <v>7494.1</v>
      </c>
      <c r="E325" s="50">
        <f t="shared" ref="E325:E388" si="11">LN(D325/D324)</f>
        <v>-0.12538525381649349</v>
      </c>
      <c r="F325" s="34"/>
      <c r="H325" s="35"/>
    </row>
    <row r="326" spans="1:8" x14ac:dyDescent="0.2">
      <c r="A326" s="38">
        <v>45385</v>
      </c>
      <c r="B326" s="29">
        <v>118.12</v>
      </c>
      <c r="C326" s="29">
        <f t="shared" si="10"/>
        <v>5.7766156096241972E-2</v>
      </c>
      <c r="D326" s="30">
        <v>7735.8</v>
      </c>
      <c r="E326" s="50">
        <f t="shared" si="11"/>
        <v>3.1742860371704443E-2</v>
      </c>
      <c r="F326" s="34"/>
      <c r="H326" s="35"/>
    </row>
    <row r="327" spans="1:8" x14ac:dyDescent="0.2">
      <c r="A327" s="38">
        <v>45386</v>
      </c>
      <c r="B327" s="29">
        <v>118.35</v>
      </c>
      <c r="C327" s="29">
        <f t="shared" si="10"/>
        <v>1.9452790842710043E-3</v>
      </c>
      <c r="D327" s="30">
        <v>7817.3</v>
      </c>
      <c r="E327" s="50">
        <f t="shared" si="11"/>
        <v>1.0480321733403762E-2</v>
      </c>
      <c r="F327" s="34"/>
      <c r="H327" s="35"/>
    </row>
    <row r="328" spans="1:8" x14ac:dyDescent="0.2">
      <c r="A328" s="38">
        <v>45388</v>
      </c>
      <c r="B328" s="29">
        <v>122.46</v>
      </c>
      <c r="C328" s="29">
        <f t="shared" si="10"/>
        <v>3.413811008981555E-2</v>
      </c>
      <c r="D328" s="30">
        <v>7737.1</v>
      </c>
      <c r="E328" s="50">
        <f t="shared" si="11"/>
        <v>-1.0312286006027663E-2</v>
      </c>
      <c r="F328" s="34"/>
      <c r="H328" s="35"/>
    </row>
    <row r="329" spans="1:8" x14ac:dyDescent="0.2">
      <c r="A329" s="38">
        <v>45389</v>
      </c>
      <c r="B329" s="29">
        <v>127.86</v>
      </c>
      <c r="C329" s="29">
        <f t="shared" si="10"/>
        <v>4.3151469288772372E-2</v>
      </c>
      <c r="D329" s="30">
        <v>7831.8</v>
      </c>
      <c r="E329" s="50">
        <f t="shared" si="11"/>
        <v>1.2165428250576059E-2</v>
      </c>
      <c r="F329" s="34"/>
      <c r="H329" s="35"/>
    </row>
    <row r="330" spans="1:8" x14ac:dyDescent="0.2">
      <c r="A330" s="38">
        <v>45391</v>
      </c>
      <c r="B330" s="29">
        <v>139.94</v>
      </c>
      <c r="C330" s="29">
        <f t="shared" si="10"/>
        <v>9.0277843979169978E-2</v>
      </c>
      <c r="D330" s="30">
        <v>7950.5</v>
      </c>
      <c r="E330" s="50">
        <f t="shared" si="11"/>
        <v>1.5042451129652596E-2</v>
      </c>
      <c r="F330" s="34"/>
      <c r="H330" s="35"/>
    </row>
    <row r="331" spans="1:8" x14ac:dyDescent="0.2">
      <c r="A331" s="38">
        <v>45392</v>
      </c>
      <c r="B331" s="29">
        <v>132.74</v>
      </c>
      <c r="C331" s="29">
        <f t="shared" si="10"/>
        <v>-5.282143159997163E-2</v>
      </c>
      <c r="D331" s="30">
        <v>8150</v>
      </c>
      <c r="E331" s="50">
        <f t="shared" si="11"/>
        <v>2.4783107482456716E-2</v>
      </c>
      <c r="F331" s="34"/>
      <c r="H331" s="35"/>
    </row>
    <row r="332" spans="1:8" x14ac:dyDescent="0.2">
      <c r="A332" s="38">
        <v>45393</v>
      </c>
      <c r="B332" s="29">
        <v>144.35</v>
      </c>
      <c r="C332" s="29">
        <f t="shared" si="10"/>
        <v>8.3848578391165024E-2</v>
      </c>
      <c r="D332" s="30">
        <v>8164.6</v>
      </c>
      <c r="E332" s="50">
        <f t="shared" si="11"/>
        <v>1.78980837991587E-3</v>
      </c>
      <c r="F332" s="34"/>
      <c r="H332" s="35"/>
    </row>
    <row r="333" spans="1:8" x14ac:dyDescent="0.2">
      <c r="A333" s="38">
        <v>45394</v>
      </c>
      <c r="B333" s="29">
        <v>156.93</v>
      </c>
      <c r="C333" s="29">
        <f t="shared" si="10"/>
        <v>8.3558939941685312E-2</v>
      </c>
      <c r="D333" s="30">
        <v>8462.6</v>
      </c>
      <c r="E333" s="50">
        <f t="shared" si="11"/>
        <v>3.5848719374883584E-2</v>
      </c>
      <c r="F333" s="34"/>
      <c r="H333" s="35"/>
    </row>
    <row r="334" spans="1:8" x14ac:dyDescent="0.2">
      <c r="A334" s="38">
        <v>45413</v>
      </c>
      <c r="B334" s="29">
        <v>112.99</v>
      </c>
      <c r="C334" s="29">
        <f t="shared" si="10"/>
        <v>-0.32850052682947462</v>
      </c>
      <c r="D334" s="30">
        <v>7489.1</v>
      </c>
      <c r="E334" s="50">
        <f t="shared" si="11"/>
        <v>-0.12220782491187755</v>
      </c>
      <c r="F334" s="34"/>
      <c r="H334" s="35"/>
    </row>
    <row r="335" spans="1:8" x14ac:dyDescent="0.2">
      <c r="A335" s="38">
        <v>45414</v>
      </c>
      <c r="B335" s="29">
        <v>115.48</v>
      </c>
      <c r="C335" s="29">
        <f t="shared" si="10"/>
        <v>2.1798035573579649E-2</v>
      </c>
      <c r="D335" s="30">
        <v>7625.9</v>
      </c>
      <c r="E335" s="50">
        <f t="shared" si="11"/>
        <v>1.8101718219346145E-2</v>
      </c>
      <c r="F335" s="34"/>
      <c r="H335" s="35"/>
    </row>
    <row r="336" spans="1:8" x14ac:dyDescent="0.2">
      <c r="A336" s="38">
        <v>45415</v>
      </c>
      <c r="B336" s="29">
        <v>116.94</v>
      </c>
      <c r="C336" s="29">
        <f t="shared" si="10"/>
        <v>1.2563627952790082E-2</v>
      </c>
      <c r="D336" s="30">
        <v>7724.2</v>
      </c>
      <c r="E336" s="50">
        <f t="shared" si="11"/>
        <v>1.28079092355261E-2</v>
      </c>
      <c r="F336" s="34"/>
      <c r="H336" s="35"/>
    </row>
    <row r="337" spans="1:8" x14ac:dyDescent="0.2">
      <c r="A337" s="38">
        <v>45416</v>
      </c>
      <c r="B337" s="29">
        <v>118.04</v>
      </c>
      <c r="C337" s="29">
        <f t="shared" si="10"/>
        <v>9.3625673272142804E-3</v>
      </c>
      <c r="D337" s="30">
        <v>7773.3</v>
      </c>
      <c r="E337" s="50">
        <f t="shared" si="11"/>
        <v>6.336527089756904E-3</v>
      </c>
      <c r="F337" s="34"/>
      <c r="H337" s="35"/>
    </row>
    <row r="338" spans="1:8" x14ac:dyDescent="0.2">
      <c r="A338" s="38">
        <v>45418</v>
      </c>
      <c r="B338" s="29">
        <v>123.47</v>
      </c>
      <c r="C338" s="29">
        <f t="shared" si="10"/>
        <v>4.4974661504913513E-2</v>
      </c>
      <c r="D338" s="30">
        <v>7769</v>
      </c>
      <c r="E338" s="50">
        <f t="shared" si="11"/>
        <v>-5.5332867203849534E-4</v>
      </c>
      <c r="F338" s="34"/>
      <c r="H338" s="35"/>
    </row>
    <row r="339" spans="1:8" x14ac:dyDescent="0.2">
      <c r="A339" s="38">
        <v>45419</v>
      </c>
      <c r="B339" s="29">
        <v>127.1</v>
      </c>
      <c r="C339" s="29">
        <f t="shared" si="10"/>
        <v>2.8975966615756025E-2</v>
      </c>
      <c r="D339" s="30">
        <v>7822.3</v>
      </c>
      <c r="E339" s="50">
        <f t="shared" si="11"/>
        <v>6.8371729918786433E-3</v>
      </c>
      <c r="F339" s="34"/>
      <c r="H339" s="35"/>
    </row>
    <row r="340" spans="1:8" x14ac:dyDescent="0.2">
      <c r="A340" s="38">
        <v>45420</v>
      </c>
      <c r="B340" s="29">
        <v>124.89</v>
      </c>
      <c r="C340" s="29">
        <f t="shared" si="10"/>
        <v>-1.7540828320414554E-2</v>
      </c>
      <c r="D340" s="30">
        <v>7649.6</v>
      </c>
      <c r="E340" s="50">
        <f t="shared" si="11"/>
        <v>-2.2325270070460541E-2</v>
      </c>
      <c r="F340" s="34"/>
      <c r="H340" s="35"/>
    </row>
    <row r="341" spans="1:8" x14ac:dyDescent="0.2">
      <c r="A341" s="38">
        <v>45421</v>
      </c>
      <c r="B341" s="29">
        <v>141.35</v>
      </c>
      <c r="C341" s="29">
        <f t="shared" si="10"/>
        <v>0.12380573426460559</v>
      </c>
      <c r="D341" s="30">
        <v>7982.4</v>
      </c>
      <c r="E341" s="50">
        <f t="shared" si="11"/>
        <v>4.2585759234933941E-2</v>
      </c>
      <c r="F341" s="34"/>
      <c r="H341" s="35"/>
    </row>
    <row r="342" spans="1:8" x14ac:dyDescent="0.2">
      <c r="A342" s="38">
        <v>45423</v>
      </c>
      <c r="B342" s="29">
        <v>143.85</v>
      </c>
      <c r="C342" s="29">
        <f t="shared" si="10"/>
        <v>1.7532005857957646E-2</v>
      </c>
      <c r="D342" s="30">
        <v>8131.8</v>
      </c>
      <c r="E342" s="50">
        <f t="shared" si="11"/>
        <v>1.8543183143252411E-2</v>
      </c>
      <c r="F342" s="34"/>
      <c r="H342" s="35"/>
    </row>
    <row r="343" spans="1:8" x14ac:dyDescent="0.2">
      <c r="A343" s="38">
        <v>45424</v>
      </c>
      <c r="B343" s="29">
        <v>157.99</v>
      </c>
      <c r="C343" s="29">
        <f t="shared" si="10"/>
        <v>9.3760649887200759E-2</v>
      </c>
      <c r="D343" s="30">
        <v>8474.9</v>
      </c>
      <c r="E343" s="50">
        <f t="shared" si="11"/>
        <v>4.1326552518982665E-2</v>
      </c>
      <c r="F343" s="34"/>
      <c r="H343" s="35"/>
    </row>
    <row r="344" spans="1:8" x14ac:dyDescent="0.2">
      <c r="A344" s="38">
        <v>45445</v>
      </c>
      <c r="B344" s="29">
        <v>114.37</v>
      </c>
      <c r="C344" s="29">
        <f t="shared" si="10"/>
        <v>-0.32309293309163228</v>
      </c>
      <c r="D344" s="30">
        <v>7581.6</v>
      </c>
      <c r="E344" s="50">
        <f t="shared" si="11"/>
        <v>-0.11138459461302272</v>
      </c>
      <c r="F344" s="34"/>
      <c r="H344" s="35"/>
    </row>
    <row r="345" spans="1:8" x14ac:dyDescent="0.2">
      <c r="A345" s="38">
        <v>45446</v>
      </c>
      <c r="B345" s="29">
        <v>118.31</v>
      </c>
      <c r="C345" s="29">
        <f t="shared" si="10"/>
        <v>3.3869491472446098E-2</v>
      </c>
      <c r="D345" s="30">
        <v>7733.5</v>
      </c>
      <c r="E345" s="50">
        <f t="shared" si="11"/>
        <v>1.983728232220925E-2</v>
      </c>
      <c r="F345" s="34"/>
      <c r="H345" s="35"/>
    </row>
    <row r="346" spans="1:8" x14ac:dyDescent="0.2">
      <c r="A346" s="38">
        <v>45448</v>
      </c>
      <c r="B346" s="29">
        <v>116.59</v>
      </c>
      <c r="C346" s="29">
        <f t="shared" si="10"/>
        <v>-1.4644791320371395E-2</v>
      </c>
      <c r="D346" s="30">
        <v>7682.4</v>
      </c>
      <c r="E346" s="50">
        <f t="shared" si="11"/>
        <v>-6.6295431544315343E-3</v>
      </c>
      <c r="F346" s="34"/>
      <c r="H346" s="35"/>
    </row>
    <row r="347" spans="1:8" x14ac:dyDescent="0.2">
      <c r="A347" s="38">
        <v>45449</v>
      </c>
      <c r="B347" s="29">
        <v>124.85</v>
      </c>
      <c r="C347" s="29">
        <f t="shared" si="10"/>
        <v>6.8449509780582243E-2</v>
      </c>
      <c r="D347" s="30">
        <v>7821.8</v>
      </c>
      <c r="E347" s="50">
        <f t="shared" si="11"/>
        <v>1.7982708756598707E-2</v>
      </c>
      <c r="F347" s="34"/>
      <c r="H347" s="35"/>
    </row>
    <row r="348" spans="1:8" x14ac:dyDescent="0.2">
      <c r="A348" s="38">
        <v>45451</v>
      </c>
      <c r="B348" s="29">
        <v>127.69</v>
      </c>
      <c r="C348" s="29">
        <f t="shared" si="10"/>
        <v>2.249243471080753E-2</v>
      </c>
      <c r="D348" s="30">
        <v>7680.6</v>
      </c>
      <c r="E348" s="50">
        <f t="shared" si="11"/>
        <v>-1.821703799024265E-2</v>
      </c>
      <c r="F348" s="34"/>
      <c r="H348" s="35"/>
    </row>
    <row r="349" spans="1:8" x14ac:dyDescent="0.2">
      <c r="A349" s="38">
        <v>45452</v>
      </c>
      <c r="B349" s="29">
        <v>143.47</v>
      </c>
      <c r="C349" s="29">
        <f t="shared" si="10"/>
        <v>0.11652050267370889</v>
      </c>
      <c r="D349" s="30">
        <v>8013.4</v>
      </c>
      <c r="E349" s="50">
        <f t="shared" si="11"/>
        <v>4.2417471323862595E-2</v>
      </c>
      <c r="F349" s="34"/>
      <c r="H349" s="35"/>
    </row>
    <row r="350" spans="1:8" x14ac:dyDescent="0.2">
      <c r="A350" s="38">
        <v>45454</v>
      </c>
      <c r="B350" s="29">
        <v>145.46</v>
      </c>
      <c r="C350" s="29">
        <f t="shared" si="10"/>
        <v>1.3775180616096117E-2</v>
      </c>
      <c r="D350" s="30">
        <v>8199.5</v>
      </c>
      <c r="E350" s="50">
        <f t="shared" si="11"/>
        <v>2.2958036369518684E-2</v>
      </c>
      <c r="F350" s="34"/>
      <c r="H350" s="35"/>
    </row>
    <row r="351" spans="1:8" x14ac:dyDescent="0.2">
      <c r="A351" s="38">
        <v>45455</v>
      </c>
      <c r="B351" s="29">
        <v>157.06</v>
      </c>
      <c r="C351" s="29">
        <f t="shared" si="10"/>
        <v>7.6726763220333893E-2</v>
      </c>
      <c r="D351" s="30">
        <v>8420.9</v>
      </c>
      <c r="E351" s="50">
        <f t="shared" si="11"/>
        <v>2.6643534101763289E-2</v>
      </c>
      <c r="F351" s="34"/>
      <c r="H351" s="35"/>
    </row>
    <row r="352" spans="1:8" x14ac:dyDescent="0.2">
      <c r="A352" s="38">
        <v>45475</v>
      </c>
      <c r="B352" s="29">
        <v>114.55</v>
      </c>
      <c r="C352" s="29">
        <f t="shared" si="10"/>
        <v>-0.31561648904722406</v>
      </c>
      <c r="D352" s="30">
        <v>7615.8</v>
      </c>
      <c r="E352" s="50">
        <f t="shared" si="11"/>
        <v>-0.1004916742630772</v>
      </c>
      <c r="F352" s="34"/>
      <c r="H352" s="35"/>
    </row>
    <row r="353" spans="1:8" x14ac:dyDescent="0.2">
      <c r="A353" s="38">
        <v>45476</v>
      </c>
      <c r="B353" s="29">
        <v>119.25</v>
      </c>
      <c r="C353" s="29">
        <f t="shared" si="10"/>
        <v>4.0210720868946032E-2</v>
      </c>
      <c r="D353" s="30">
        <v>7763.7</v>
      </c>
      <c r="E353" s="50">
        <f t="shared" si="11"/>
        <v>1.9233988043822717E-2</v>
      </c>
      <c r="F353" s="34"/>
      <c r="H353" s="35"/>
    </row>
    <row r="354" spans="1:8" x14ac:dyDescent="0.2">
      <c r="A354" s="38">
        <v>45478</v>
      </c>
      <c r="B354" s="29">
        <v>119</v>
      </c>
      <c r="C354" s="29">
        <f t="shared" si="10"/>
        <v>-2.0986366569212492E-3</v>
      </c>
      <c r="D354" s="30">
        <v>7793.3</v>
      </c>
      <c r="E354" s="50">
        <f t="shared" si="11"/>
        <v>3.8053655228276312E-3</v>
      </c>
      <c r="F354" s="34"/>
      <c r="H354" s="35"/>
    </row>
    <row r="355" spans="1:8" x14ac:dyDescent="0.2">
      <c r="A355" s="38">
        <v>45479</v>
      </c>
      <c r="B355" s="29">
        <v>125.55</v>
      </c>
      <c r="C355" s="29">
        <f t="shared" si="10"/>
        <v>5.3580592492064656E-2</v>
      </c>
      <c r="D355" s="30">
        <v>7860</v>
      </c>
      <c r="E355" s="50">
        <f t="shared" si="11"/>
        <v>8.5222162344153977E-3</v>
      </c>
      <c r="F355" s="34"/>
      <c r="H355" s="35"/>
    </row>
    <row r="356" spans="1:8" x14ac:dyDescent="0.2">
      <c r="A356" s="38">
        <v>45481</v>
      </c>
      <c r="B356" s="29">
        <v>127.34</v>
      </c>
      <c r="C356" s="29">
        <f t="shared" si="10"/>
        <v>1.4156588985285296E-2</v>
      </c>
      <c r="D356" s="30">
        <v>7699.8</v>
      </c>
      <c r="E356" s="50">
        <f t="shared" si="11"/>
        <v>-2.0592251944781814E-2</v>
      </c>
      <c r="F356" s="34"/>
      <c r="H356" s="35"/>
    </row>
    <row r="357" spans="1:8" x14ac:dyDescent="0.2">
      <c r="A357" s="38">
        <v>45483</v>
      </c>
      <c r="B357" s="29">
        <v>134.77000000000001</v>
      </c>
      <c r="C357" s="29">
        <f t="shared" si="10"/>
        <v>5.6708947192188747E-2</v>
      </c>
      <c r="D357" s="30">
        <v>8205.4</v>
      </c>
      <c r="E357" s="50">
        <f t="shared" si="11"/>
        <v>6.3598119619171736E-2</v>
      </c>
      <c r="F357" s="34"/>
      <c r="H357" s="35"/>
    </row>
    <row r="358" spans="1:8" x14ac:dyDescent="0.2">
      <c r="A358" s="38">
        <v>45484</v>
      </c>
      <c r="B358" s="29">
        <v>147.26</v>
      </c>
      <c r="C358" s="29">
        <f t="shared" si="10"/>
        <v>8.863011015950277E-2</v>
      </c>
      <c r="D358" s="30">
        <v>8226.2999999999993</v>
      </c>
      <c r="E358" s="50">
        <f t="shared" si="11"/>
        <v>2.5438647578467292E-3</v>
      </c>
      <c r="F358" s="34"/>
      <c r="H358" s="35"/>
    </row>
    <row r="359" spans="1:8" x14ac:dyDescent="0.2">
      <c r="A359" s="38">
        <v>45505</v>
      </c>
      <c r="B359" s="29">
        <v>111.98</v>
      </c>
      <c r="C359" s="29">
        <f t="shared" si="10"/>
        <v>-0.27387944801982345</v>
      </c>
      <c r="D359" s="30">
        <v>7451.5</v>
      </c>
      <c r="E359" s="50">
        <f t="shared" si="11"/>
        <v>-9.8920984466641437E-2</v>
      </c>
      <c r="F359" s="34"/>
      <c r="H359" s="35"/>
    </row>
    <row r="360" spans="1:8" x14ac:dyDescent="0.2">
      <c r="A360" s="38">
        <v>45506</v>
      </c>
      <c r="B360" s="29">
        <v>115.87</v>
      </c>
      <c r="C360" s="29">
        <f t="shared" si="10"/>
        <v>3.4148589088223658E-2</v>
      </c>
      <c r="D360" s="30">
        <v>7639.2</v>
      </c>
      <c r="E360" s="50">
        <f t="shared" si="11"/>
        <v>2.4877531247145351E-2</v>
      </c>
      <c r="F360" s="34"/>
      <c r="H360" s="35"/>
    </row>
    <row r="361" spans="1:8" x14ac:dyDescent="0.2">
      <c r="A361" s="38">
        <v>45507</v>
      </c>
      <c r="B361" s="29">
        <v>121.45</v>
      </c>
      <c r="C361" s="29">
        <f t="shared" si="10"/>
        <v>4.7033782439210636E-2</v>
      </c>
      <c r="D361" s="30">
        <v>7847</v>
      </c>
      <c r="E361" s="50">
        <f t="shared" si="11"/>
        <v>2.6838407491480532E-2</v>
      </c>
      <c r="F361" s="34"/>
      <c r="H361" s="35"/>
    </row>
    <row r="362" spans="1:8" x14ac:dyDescent="0.2">
      <c r="A362" s="38">
        <v>45508</v>
      </c>
      <c r="B362" s="29">
        <v>118.19</v>
      </c>
      <c r="C362" s="29">
        <f t="shared" si="10"/>
        <v>-2.7209156424032373E-2</v>
      </c>
      <c r="D362" s="30">
        <v>7789.1</v>
      </c>
      <c r="E362" s="50">
        <f t="shared" si="11"/>
        <v>-7.40597267137436E-3</v>
      </c>
      <c r="F362" s="34"/>
      <c r="H362" s="35"/>
    </row>
    <row r="363" spans="1:8" x14ac:dyDescent="0.2">
      <c r="A363" s="38">
        <v>45509</v>
      </c>
      <c r="B363" s="29">
        <v>119.74</v>
      </c>
      <c r="C363" s="29">
        <f t="shared" si="10"/>
        <v>1.3029226473056722E-2</v>
      </c>
      <c r="D363" s="30">
        <v>7804.5</v>
      </c>
      <c r="E363" s="50">
        <f t="shared" si="11"/>
        <v>1.9751699423689508E-3</v>
      </c>
      <c r="F363" s="34"/>
      <c r="H363" s="35"/>
    </row>
    <row r="364" spans="1:8" x14ac:dyDescent="0.2">
      <c r="A364" s="38">
        <v>45511</v>
      </c>
      <c r="B364" s="29">
        <v>126.47</v>
      </c>
      <c r="C364" s="29">
        <f t="shared" si="10"/>
        <v>5.468240039467899E-2</v>
      </c>
      <c r="D364" s="30">
        <v>7763.2</v>
      </c>
      <c r="E364" s="50">
        <f t="shared" si="11"/>
        <v>-5.3058700887915798E-3</v>
      </c>
      <c r="F364" s="34"/>
      <c r="H364" s="35"/>
    </row>
    <row r="365" spans="1:8" x14ac:dyDescent="0.2">
      <c r="A365" s="38">
        <v>45512</v>
      </c>
      <c r="B365" s="29">
        <v>129.11000000000001</v>
      </c>
      <c r="C365" s="29">
        <f t="shared" si="10"/>
        <v>2.0659628294742379E-2</v>
      </c>
      <c r="D365" s="30">
        <v>7682</v>
      </c>
      <c r="E365" s="50">
        <f t="shared" si="11"/>
        <v>-1.0514690403826158E-2</v>
      </c>
      <c r="F365" s="34"/>
      <c r="H365" s="35"/>
    </row>
    <row r="366" spans="1:8" x14ac:dyDescent="0.2">
      <c r="A366" s="38">
        <v>45514</v>
      </c>
      <c r="B366" s="29">
        <v>134.97</v>
      </c>
      <c r="C366" s="29">
        <f t="shared" si="10"/>
        <v>4.4387777334563179E-2</v>
      </c>
      <c r="D366" s="30">
        <v>8176.9</v>
      </c>
      <c r="E366" s="50">
        <f t="shared" si="11"/>
        <v>6.2433175757352979E-2</v>
      </c>
      <c r="F366" s="34"/>
      <c r="H366" s="35"/>
    </row>
    <row r="367" spans="1:8" x14ac:dyDescent="0.2">
      <c r="A367" s="38">
        <v>45515</v>
      </c>
      <c r="B367" s="29">
        <v>149.32</v>
      </c>
      <c r="C367" s="29">
        <f t="shared" si="10"/>
        <v>0.10103912252519247</v>
      </c>
      <c r="D367" s="30">
        <v>8295.1</v>
      </c>
      <c r="E367" s="50">
        <f t="shared" si="11"/>
        <v>1.4351873343768865E-2</v>
      </c>
      <c r="F367" s="34"/>
      <c r="H367" s="35"/>
    </row>
    <row r="368" spans="1:8" x14ac:dyDescent="0.2">
      <c r="A368" s="38">
        <v>45536</v>
      </c>
      <c r="B368" s="29">
        <v>113.02</v>
      </c>
      <c r="C368" s="29">
        <f t="shared" si="10"/>
        <v>-0.27852685984468584</v>
      </c>
      <c r="D368" s="30">
        <v>7520.5</v>
      </c>
      <c r="E368" s="50">
        <f t="shared" si="11"/>
        <v>-9.8032353911703882E-2</v>
      </c>
      <c r="F368" s="34"/>
      <c r="H368" s="35"/>
    </row>
    <row r="369" spans="1:8" x14ac:dyDescent="0.2">
      <c r="A369" s="38">
        <v>45537</v>
      </c>
      <c r="B369" s="29">
        <v>116.24</v>
      </c>
      <c r="C369" s="29">
        <f t="shared" si="10"/>
        <v>2.8092225060330277E-2</v>
      </c>
      <c r="D369" s="30">
        <v>7644.8</v>
      </c>
      <c r="E369" s="50">
        <f t="shared" si="11"/>
        <v>1.6393053036222432E-2</v>
      </c>
      <c r="F369" s="34"/>
      <c r="H369" s="35"/>
    </row>
    <row r="370" spans="1:8" x14ac:dyDescent="0.2">
      <c r="A370" s="38">
        <v>45539</v>
      </c>
      <c r="B370" s="29">
        <v>119.15</v>
      </c>
      <c r="C370" s="29">
        <f t="shared" si="10"/>
        <v>2.4726184282723659E-2</v>
      </c>
      <c r="D370" s="30">
        <v>7824.2</v>
      </c>
      <c r="E370" s="50">
        <f t="shared" si="11"/>
        <v>2.3195816628639135E-2</v>
      </c>
      <c r="F370" s="34"/>
      <c r="H370" s="35"/>
    </row>
    <row r="371" spans="1:8" x14ac:dyDescent="0.2">
      <c r="A371" s="38">
        <v>45540</v>
      </c>
      <c r="B371" s="29">
        <v>117.09</v>
      </c>
      <c r="C371" s="29">
        <f t="shared" si="10"/>
        <v>-1.7440333684117872E-2</v>
      </c>
      <c r="D371" s="30">
        <v>7721.6</v>
      </c>
      <c r="E371" s="50">
        <f t="shared" si="11"/>
        <v>-1.319989832941685E-2</v>
      </c>
      <c r="F371" s="34"/>
      <c r="H371" s="35"/>
    </row>
    <row r="372" spans="1:8" x14ac:dyDescent="0.2">
      <c r="A372" s="38">
        <v>45542</v>
      </c>
      <c r="B372" s="29">
        <v>128.69</v>
      </c>
      <c r="C372" s="29">
        <f t="shared" si="10"/>
        <v>9.4463541644940252E-2</v>
      </c>
      <c r="D372" s="30">
        <v>7829.7</v>
      </c>
      <c r="E372" s="50">
        <f t="shared" si="11"/>
        <v>1.3902598643884025E-2</v>
      </c>
      <c r="F372" s="34"/>
      <c r="H372" s="35"/>
    </row>
    <row r="373" spans="1:8" x14ac:dyDescent="0.2">
      <c r="A373" s="38">
        <v>45543</v>
      </c>
      <c r="B373" s="29">
        <v>129.55000000000001</v>
      </c>
      <c r="C373" s="29">
        <f t="shared" si="10"/>
        <v>6.6604955025456316E-3</v>
      </c>
      <c r="D373" s="30">
        <v>7777.7</v>
      </c>
      <c r="E373" s="50">
        <f t="shared" si="11"/>
        <v>-6.663530429320488E-3</v>
      </c>
      <c r="F373" s="34"/>
      <c r="H373" s="35"/>
    </row>
    <row r="374" spans="1:8" x14ac:dyDescent="0.2">
      <c r="A374" s="38">
        <v>45544</v>
      </c>
      <c r="B374" s="29">
        <v>142.94999999999999</v>
      </c>
      <c r="C374" s="29">
        <f t="shared" si="10"/>
        <v>9.8428011760201578E-2</v>
      </c>
      <c r="D374" s="30">
        <v>7988.1</v>
      </c>
      <c r="E374" s="50">
        <f t="shared" si="11"/>
        <v>2.6692269590237589E-2</v>
      </c>
      <c r="F374" s="34"/>
      <c r="H374" s="35"/>
    </row>
    <row r="375" spans="1:8" x14ac:dyDescent="0.2">
      <c r="A375" s="38">
        <v>45545</v>
      </c>
      <c r="B375" s="29">
        <v>135.63</v>
      </c>
      <c r="C375" s="29">
        <f t="shared" si="10"/>
        <v>-5.2564328793697344E-2</v>
      </c>
      <c r="D375" s="30">
        <v>8187.4</v>
      </c>
      <c r="E375" s="50">
        <f t="shared" si="11"/>
        <v>2.4643452892947153E-2</v>
      </c>
      <c r="F375" s="34"/>
      <c r="H375" s="35"/>
    </row>
    <row r="376" spans="1:8" x14ac:dyDescent="0.2">
      <c r="A376" s="38">
        <v>45547</v>
      </c>
      <c r="B376" s="29">
        <v>159.38</v>
      </c>
      <c r="C376" s="29">
        <f t="shared" si="10"/>
        <v>0.16136069799497851</v>
      </c>
      <c r="D376" s="30">
        <v>8423</v>
      </c>
      <c r="E376" s="50">
        <f t="shared" si="11"/>
        <v>2.8369672186902797E-2</v>
      </c>
      <c r="F376" s="34"/>
      <c r="H376" s="35"/>
    </row>
    <row r="377" spans="1:8" x14ac:dyDescent="0.2">
      <c r="A377" s="38">
        <v>45566</v>
      </c>
      <c r="B377" s="29">
        <v>112.04</v>
      </c>
      <c r="C377" s="29">
        <f t="shared" si="10"/>
        <v>-0.3524353375776943</v>
      </c>
      <c r="D377" s="30">
        <v>7468.5</v>
      </c>
      <c r="E377" s="50">
        <f t="shared" si="11"/>
        <v>-0.12027188356501654</v>
      </c>
      <c r="F377" s="34"/>
      <c r="H377" s="35"/>
    </row>
    <row r="378" spans="1:8" x14ac:dyDescent="0.2">
      <c r="A378" s="38">
        <v>45569</v>
      </c>
      <c r="B378" s="29">
        <v>118.21</v>
      </c>
      <c r="C378" s="29">
        <f t="shared" si="10"/>
        <v>5.3606753370377763E-2</v>
      </c>
      <c r="D378" s="30">
        <v>7848.5</v>
      </c>
      <c r="E378" s="50">
        <f t="shared" si="11"/>
        <v>4.962825496491461E-2</v>
      </c>
      <c r="F378" s="34"/>
      <c r="H378" s="35"/>
    </row>
    <row r="379" spans="1:8" x14ac:dyDescent="0.2">
      <c r="A379" s="38">
        <v>45570</v>
      </c>
      <c r="B379" s="29">
        <v>117.54</v>
      </c>
      <c r="C379" s="29">
        <f t="shared" si="10"/>
        <v>-5.6840025777810414E-3</v>
      </c>
      <c r="D379" s="30">
        <v>7749</v>
      </c>
      <c r="E379" s="50">
        <f t="shared" si="11"/>
        <v>-1.275862795131143E-2</v>
      </c>
      <c r="F379" s="34"/>
      <c r="H379" s="35"/>
    </row>
    <row r="380" spans="1:8" x14ac:dyDescent="0.2">
      <c r="A380" s="38">
        <v>45572</v>
      </c>
      <c r="B380" s="29">
        <v>128.54</v>
      </c>
      <c r="C380" s="29">
        <f t="shared" si="10"/>
        <v>8.9461438758635659E-2</v>
      </c>
      <c r="D380" s="30">
        <v>7816.8</v>
      </c>
      <c r="E380" s="50">
        <f t="shared" si="11"/>
        <v>8.7114608661833636E-3</v>
      </c>
      <c r="F380" s="34"/>
      <c r="H380" s="35"/>
    </row>
    <row r="381" spans="1:8" x14ac:dyDescent="0.2">
      <c r="A381" s="38">
        <v>45574</v>
      </c>
      <c r="B381" s="29">
        <v>143.77000000000001</v>
      </c>
      <c r="C381" s="29">
        <f t="shared" si="10"/>
        <v>0.11197466049136109</v>
      </c>
      <c r="D381" s="30">
        <v>8011.9</v>
      </c>
      <c r="E381" s="50">
        <f t="shared" si="11"/>
        <v>2.4652672799600806E-2</v>
      </c>
      <c r="F381" s="34"/>
      <c r="H381" s="35"/>
    </row>
    <row r="382" spans="1:8" x14ac:dyDescent="0.2">
      <c r="A382" s="38">
        <v>45575</v>
      </c>
      <c r="B382" s="29">
        <v>136.19</v>
      </c>
      <c r="C382" s="29">
        <f t="shared" si="10"/>
        <v>-5.4163830853635193E-2</v>
      </c>
      <c r="D382" s="30">
        <v>8223</v>
      </c>
      <c r="E382" s="50">
        <f t="shared" si="11"/>
        <v>2.6007169541161348E-2</v>
      </c>
      <c r="F382" s="34"/>
      <c r="H382" s="35"/>
    </row>
    <row r="383" spans="1:8" x14ac:dyDescent="0.2">
      <c r="A383" s="38">
        <v>45577</v>
      </c>
      <c r="B383" s="29">
        <v>157.63</v>
      </c>
      <c r="C383" s="29">
        <f t="shared" si="10"/>
        <v>0.14619954505758506</v>
      </c>
      <c r="D383" s="30">
        <v>8393</v>
      </c>
      <c r="E383" s="50">
        <f t="shared" si="11"/>
        <v>2.0462919111932151E-2</v>
      </c>
      <c r="F383" s="34"/>
      <c r="H383" s="35"/>
    </row>
    <row r="384" spans="1:8" x14ac:dyDescent="0.2">
      <c r="A384" s="38">
        <v>45597</v>
      </c>
      <c r="B384" s="29">
        <v>113.6</v>
      </c>
      <c r="C384" s="29">
        <f t="shared" si="10"/>
        <v>-0.32756700835140001</v>
      </c>
      <c r="D384" s="30">
        <v>7506</v>
      </c>
      <c r="E384" s="50">
        <f t="shared" si="11"/>
        <v>-0.11169532438786141</v>
      </c>
      <c r="F384" s="34"/>
      <c r="H384" s="35"/>
    </row>
    <row r="385" spans="1:8" x14ac:dyDescent="0.2">
      <c r="A385" s="38">
        <v>45599</v>
      </c>
      <c r="B385" s="29">
        <v>118.13</v>
      </c>
      <c r="C385" s="29">
        <f t="shared" si="10"/>
        <v>3.9102206673377604E-2</v>
      </c>
      <c r="D385" s="30">
        <v>7704.2</v>
      </c>
      <c r="E385" s="50">
        <f t="shared" si="11"/>
        <v>2.606293398600561E-2</v>
      </c>
      <c r="F385" s="34"/>
      <c r="H385" s="35"/>
    </row>
    <row r="386" spans="1:8" x14ac:dyDescent="0.2">
      <c r="A386" s="38">
        <v>45600</v>
      </c>
      <c r="B386" s="29">
        <v>116.81</v>
      </c>
      <c r="C386" s="29">
        <f t="shared" si="10"/>
        <v>-1.1237029792823764E-2</v>
      </c>
      <c r="D386" s="30">
        <v>7813.6</v>
      </c>
      <c r="E386" s="50">
        <f t="shared" si="11"/>
        <v>1.4100170452295646E-2</v>
      </c>
      <c r="F386" s="34"/>
      <c r="H386" s="35"/>
    </row>
    <row r="387" spans="1:8" x14ac:dyDescent="0.2">
      <c r="A387" s="38">
        <v>45602</v>
      </c>
      <c r="B387" s="29">
        <v>124.93</v>
      </c>
      <c r="C387" s="29">
        <f t="shared" si="10"/>
        <v>6.7204897276133033E-2</v>
      </c>
      <c r="D387" s="30">
        <v>7755.4</v>
      </c>
      <c r="E387" s="50">
        <f t="shared" si="11"/>
        <v>-7.4764302267636071E-3</v>
      </c>
      <c r="F387" s="34"/>
      <c r="H387" s="35"/>
    </row>
    <row r="388" spans="1:8" x14ac:dyDescent="0.2">
      <c r="A388" s="38">
        <v>45603</v>
      </c>
      <c r="B388" s="29">
        <v>129.91999999999999</v>
      </c>
      <c r="C388" s="29">
        <f t="shared" si="10"/>
        <v>3.9165295969629747E-2</v>
      </c>
      <c r="D388" s="30">
        <v>7889.6</v>
      </c>
      <c r="E388" s="50">
        <f t="shared" si="11"/>
        <v>1.7156061563358117E-2</v>
      </c>
      <c r="F388" s="34"/>
      <c r="H388" s="35"/>
    </row>
    <row r="389" spans="1:8" x14ac:dyDescent="0.2">
      <c r="A389" s="38">
        <v>45605</v>
      </c>
      <c r="B389" s="29">
        <v>141.05000000000001</v>
      </c>
      <c r="C389" s="29">
        <f t="shared" ref="C389:C402" si="12">LN(B389/B388)</f>
        <v>8.2195561034637626E-2</v>
      </c>
      <c r="D389" s="30">
        <v>7987.9</v>
      </c>
      <c r="E389" s="50">
        <f t="shared" ref="E389:E402" si="13">LN(D389/D388)</f>
        <v>1.2382460209316272E-2</v>
      </c>
      <c r="F389" s="34"/>
      <c r="H389" s="35"/>
    </row>
    <row r="390" spans="1:8" x14ac:dyDescent="0.2">
      <c r="A390" s="38">
        <v>45606</v>
      </c>
      <c r="B390" s="29">
        <v>135.63999999999999</v>
      </c>
      <c r="C390" s="29">
        <f t="shared" si="12"/>
        <v>-3.9110120190567581E-2</v>
      </c>
      <c r="D390" s="30">
        <v>8214.5</v>
      </c>
      <c r="E390" s="50">
        <f t="shared" si="13"/>
        <v>2.7972988667213473E-2</v>
      </c>
      <c r="F390" s="34"/>
      <c r="H390" s="35"/>
    </row>
    <row r="391" spans="1:8" x14ac:dyDescent="0.2">
      <c r="A391" s="38">
        <v>45607</v>
      </c>
      <c r="B391" s="29">
        <v>149.79</v>
      </c>
      <c r="C391" s="29">
        <f t="shared" si="12"/>
        <v>9.9229995923189721E-2</v>
      </c>
      <c r="D391" s="30">
        <v>8266.2000000000007</v>
      </c>
      <c r="E391" s="50">
        <f t="shared" si="13"/>
        <v>6.2740259322169997E-3</v>
      </c>
      <c r="F391" s="34"/>
      <c r="H391" s="35"/>
    </row>
    <row r="392" spans="1:8" x14ac:dyDescent="0.2">
      <c r="A392" s="38">
        <v>45608</v>
      </c>
      <c r="B392" s="29">
        <v>157.52000000000001</v>
      </c>
      <c r="C392" s="29">
        <f t="shared" si="12"/>
        <v>5.0318121150242583E-2</v>
      </c>
      <c r="D392" s="30">
        <v>8353.6</v>
      </c>
      <c r="E392" s="50">
        <f t="shared" si="13"/>
        <v>1.0517672377679595E-2</v>
      </c>
      <c r="F392" s="34"/>
      <c r="H392" s="35"/>
    </row>
    <row r="393" spans="1:8" x14ac:dyDescent="0.2">
      <c r="A393" s="38">
        <v>45627</v>
      </c>
      <c r="B393" s="29">
        <v>113.63</v>
      </c>
      <c r="C393" s="29">
        <f t="shared" si="12"/>
        <v>-0.32660487840095243</v>
      </c>
      <c r="D393" s="30">
        <v>7498.3</v>
      </c>
      <c r="E393" s="50">
        <f t="shared" si="13"/>
        <v>-0.10801625549132425</v>
      </c>
      <c r="F393" s="34"/>
      <c r="H393" s="35"/>
    </row>
    <row r="394" spans="1:8" x14ac:dyDescent="0.2">
      <c r="A394" s="38">
        <v>45628</v>
      </c>
      <c r="B394" s="29">
        <v>115.73</v>
      </c>
      <c r="C394" s="29">
        <f t="shared" si="12"/>
        <v>1.8312335930068636E-2</v>
      </c>
      <c r="D394" s="30">
        <v>7614.9</v>
      </c>
      <c r="E394" s="50">
        <f t="shared" si="13"/>
        <v>1.5430526101710803E-2</v>
      </c>
      <c r="F394" s="34"/>
      <c r="H394" s="35"/>
    </row>
    <row r="395" spans="1:8" x14ac:dyDescent="0.2">
      <c r="A395" s="38">
        <v>45629</v>
      </c>
      <c r="B395" s="29">
        <v>117.74</v>
      </c>
      <c r="C395" s="29">
        <f t="shared" si="12"/>
        <v>1.7218911740128875E-2</v>
      </c>
      <c r="D395" s="30">
        <v>7712.5</v>
      </c>
      <c r="E395" s="50">
        <f t="shared" si="13"/>
        <v>1.273553494696872E-2</v>
      </c>
      <c r="F395" s="34"/>
      <c r="H395" s="35"/>
    </row>
    <row r="396" spans="1:8" x14ac:dyDescent="0.2">
      <c r="A396" s="38">
        <v>45630</v>
      </c>
      <c r="B396" s="29">
        <v>116.24</v>
      </c>
      <c r="C396" s="29">
        <f t="shared" si="12"/>
        <v>-1.2821784338087845E-2</v>
      </c>
      <c r="D396" s="30">
        <v>7788.1</v>
      </c>
      <c r="E396" s="50">
        <f t="shared" si="13"/>
        <v>9.754538463089199E-3</v>
      </c>
      <c r="F396" s="34"/>
      <c r="H396" s="35"/>
    </row>
    <row r="397" spans="1:8" x14ac:dyDescent="0.2">
      <c r="A397" s="38">
        <v>45632</v>
      </c>
      <c r="B397" s="29">
        <v>124.1</v>
      </c>
      <c r="C397" s="29">
        <f t="shared" si="12"/>
        <v>6.5430672948534052E-2</v>
      </c>
      <c r="D397" s="30">
        <v>7715.5</v>
      </c>
      <c r="E397" s="50">
        <f t="shared" si="13"/>
        <v>-9.3656351654729311E-3</v>
      </c>
      <c r="F397" s="34"/>
      <c r="H397" s="35"/>
    </row>
    <row r="398" spans="1:8" x14ac:dyDescent="0.2">
      <c r="A398" s="38">
        <v>45633</v>
      </c>
      <c r="B398" s="29">
        <v>131.66</v>
      </c>
      <c r="C398" s="29">
        <f t="shared" si="12"/>
        <v>5.9135149829169058E-2</v>
      </c>
      <c r="D398" s="30">
        <v>7959.3</v>
      </c>
      <c r="E398" s="50">
        <f t="shared" si="13"/>
        <v>3.1109763761754824E-2</v>
      </c>
      <c r="F398" s="34"/>
      <c r="H398" s="35"/>
    </row>
    <row r="399" spans="1:8" x14ac:dyDescent="0.2">
      <c r="A399" s="38">
        <v>45634</v>
      </c>
      <c r="B399" s="29">
        <v>130.53</v>
      </c>
      <c r="C399" s="29">
        <f t="shared" si="12"/>
        <v>-8.6197566390321511E-3</v>
      </c>
      <c r="D399" s="30">
        <v>7813.7</v>
      </c>
      <c r="E399" s="50">
        <f t="shared" si="13"/>
        <v>-1.8462453023629546E-2</v>
      </c>
      <c r="F399" s="34"/>
      <c r="H399" s="35"/>
    </row>
    <row r="400" spans="1:8" x14ac:dyDescent="0.2">
      <c r="A400" s="38">
        <v>45635</v>
      </c>
      <c r="B400" s="29">
        <v>142.96</v>
      </c>
      <c r="C400" s="29">
        <f t="shared" si="12"/>
        <v>9.0961785450474231E-2</v>
      </c>
      <c r="D400" s="30">
        <v>8075.7</v>
      </c>
      <c r="E400" s="50">
        <f t="shared" si="13"/>
        <v>3.2980949390846552E-2</v>
      </c>
      <c r="F400" s="34"/>
      <c r="H400" s="35"/>
    </row>
    <row r="401" spans="1:8" x14ac:dyDescent="0.2">
      <c r="A401" s="38">
        <v>45637</v>
      </c>
      <c r="B401" s="29">
        <v>150.25</v>
      </c>
      <c r="C401" s="29">
        <f t="shared" si="12"/>
        <v>4.9735702564144328E-2</v>
      </c>
      <c r="D401" s="30">
        <v>8255.6</v>
      </c>
      <c r="E401" s="50">
        <f t="shared" si="13"/>
        <v>2.2032205294989077E-2</v>
      </c>
      <c r="F401" s="34"/>
      <c r="H401" s="35"/>
    </row>
    <row r="402" spans="1:8" ht="17" thickBot="1" x14ac:dyDescent="0.25">
      <c r="A402" s="39">
        <v>45638</v>
      </c>
      <c r="B402" s="40">
        <v>157.52000000000001</v>
      </c>
      <c r="C402" s="40">
        <f t="shared" si="12"/>
        <v>4.7251860915553237E-2</v>
      </c>
      <c r="D402" s="41">
        <v>8330.2999999999993</v>
      </c>
      <c r="E402" s="51">
        <f t="shared" si="13"/>
        <v>9.0077119829268439E-3</v>
      </c>
      <c r="F402" s="34"/>
      <c r="H402" s="35"/>
    </row>
    <row r="403" spans="1:8" x14ac:dyDescent="0.2">
      <c r="A403" s="28"/>
      <c r="F403" s="34"/>
      <c r="H403" s="35"/>
    </row>
    <row r="404" spans="1:8" x14ac:dyDescent="0.2">
      <c r="A404" s="28"/>
      <c r="F404" s="34"/>
      <c r="H404" s="35"/>
    </row>
    <row r="405" spans="1:8" x14ac:dyDescent="0.2">
      <c r="A405" s="28"/>
      <c r="F405" s="34"/>
      <c r="H405" s="35"/>
    </row>
    <row r="406" spans="1:8" x14ac:dyDescent="0.2">
      <c r="A406" s="28"/>
      <c r="F406" s="34"/>
      <c r="H406" s="35"/>
    </row>
    <row r="407" spans="1:8" x14ac:dyDescent="0.2">
      <c r="A407" s="28"/>
      <c r="F407" s="34"/>
      <c r="H407" s="35"/>
    </row>
    <row r="408" spans="1:8" x14ac:dyDescent="0.2">
      <c r="A408" s="28"/>
      <c r="F408" s="34"/>
      <c r="H408" s="35"/>
    </row>
    <row r="409" spans="1:8" x14ac:dyDescent="0.2">
      <c r="A409" s="28"/>
      <c r="F409" s="34"/>
      <c r="H409" s="35"/>
    </row>
    <row r="410" spans="1:8" x14ac:dyDescent="0.2">
      <c r="A410" s="28"/>
      <c r="F410" s="34"/>
      <c r="H410" s="35"/>
    </row>
    <row r="411" spans="1:8" x14ac:dyDescent="0.2">
      <c r="A411" s="28"/>
      <c r="F411" s="34"/>
      <c r="H411" s="35"/>
    </row>
    <row r="412" spans="1:8" x14ac:dyDescent="0.2">
      <c r="A412" s="28"/>
      <c r="F412" s="34"/>
      <c r="H412" s="35"/>
    </row>
    <row r="413" spans="1:8" x14ac:dyDescent="0.2">
      <c r="A413" s="28"/>
      <c r="F413" s="34"/>
      <c r="H413" s="35"/>
    </row>
    <row r="414" spans="1:8" x14ac:dyDescent="0.2">
      <c r="A414" s="28"/>
      <c r="F414" s="34"/>
      <c r="H414" s="35"/>
    </row>
    <row r="415" spans="1:8" x14ac:dyDescent="0.2">
      <c r="A415" s="28"/>
      <c r="F415" s="34"/>
      <c r="H415" s="35"/>
    </row>
    <row r="416" spans="1:8" x14ac:dyDescent="0.2">
      <c r="A416" s="28"/>
      <c r="F416" s="34"/>
      <c r="H416" s="35"/>
    </row>
    <row r="417" spans="1:8" x14ac:dyDescent="0.2">
      <c r="A417" s="28"/>
      <c r="F417" s="34"/>
      <c r="H417" s="35"/>
    </row>
    <row r="418" spans="1:8" x14ac:dyDescent="0.2">
      <c r="A418" s="28"/>
      <c r="F418" s="34"/>
      <c r="H418" s="35"/>
    </row>
    <row r="419" spans="1:8" x14ac:dyDescent="0.2">
      <c r="A419" s="28"/>
      <c r="F419" s="34"/>
      <c r="H419" s="35"/>
    </row>
    <row r="420" spans="1:8" x14ac:dyDescent="0.2">
      <c r="A420" s="28"/>
      <c r="F420" s="34"/>
      <c r="H420" s="35"/>
    </row>
    <row r="421" spans="1:8" x14ac:dyDescent="0.2">
      <c r="A421" s="28"/>
      <c r="F421" s="34"/>
      <c r="H421" s="35"/>
    </row>
    <row r="422" spans="1:8" x14ac:dyDescent="0.2">
      <c r="A422" s="28"/>
      <c r="F422" s="34"/>
      <c r="H422" s="35"/>
    </row>
    <row r="423" spans="1:8" x14ac:dyDescent="0.2">
      <c r="A423" s="28"/>
      <c r="F423" s="34"/>
      <c r="H423" s="35"/>
    </row>
    <row r="424" spans="1:8" x14ac:dyDescent="0.2">
      <c r="A424" s="28"/>
      <c r="F424" s="34"/>
      <c r="H424" s="35"/>
    </row>
    <row r="425" spans="1:8" x14ac:dyDescent="0.2">
      <c r="A425" s="28"/>
      <c r="F425" s="34"/>
      <c r="H425" s="35"/>
    </row>
    <row r="426" spans="1:8" x14ac:dyDescent="0.2">
      <c r="A426" s="28"/>
      <c r="F426" s="34"/>
      <c r="H426" s="35"/>
    </row>
    <row r="427" spans="1:8" x14ac:dyDescent="0.2">
      <c r="A427" s="28"/>
      <c r="F427" s="34"/>
      <c r="H427" s="35"/>
    </row>
    <row r="428" spans="1:8" x14ac:dyDescent="0.2">
      <c r="A428" s="28"/>
      <c r="F428" s="34"/>
      <c r="H428" s="35"/>
    </row>
    <row r="429" spans="1:8" x14ac:dyDescent="0.2">
      <c r="A429" s="28"/>
      <c r="F429" s="34"/>
      <c r="H429" s="35"/>
    </row>
    <row r="430" spans="1:8" x14ac:dyDescent="0.2">
      <c r="A430" s="28"/>
      <c r="F430" s="34"/>
      <c r="H430" s="35"/>
    </row>
    <row r="431" spans="1:8" x14ac:dyDescent="0.2">
      <c r="A431" s="28"/>
      <c r="F431" s="34"/>
      <c r="H431" s="35"/>
    </row>
    <row r="432" spans="1:8" x14ac:dyDescent="0.2">
      <c r="A432" s="28"/>
      <c r="F432" s="34"/>
      <c r="H432" s="35"/>
    </row>
    <row r="433" spans="1:8" x14ac:dyDescent="0.2">
      <c r="A433" s="28"/>
      <c r="F433" s="34"/>
      <c r="H433" s="35"/>
    </row>
    <row r="434" spans="1:8" x14ac:dyDescent="0.2">
      <c r="A434" s="28"/>
      <c r="F434" s="34"/>
      <c r="H434" s="35"/>
    </row>
    <row r="435" spans="1:8" x14ac:dyDescent="0.2">
      <c r="A435" s="28"/>
      <c r="F435" s="34"/>
      <c r="H435" s="35"/>
    </row>
    <row r="436" spans="1:8" x14ac:dyDescent="0.2">
      <c r="A436" s="28"/>
      <c r="F436" s="34"/>
      <c r="H436" s="35"/>
    </row>
    <row r="437" spans="1:8" x14ac:dyDescent="0.2">
      <c r="A437" s="28"/>
      <c r="F437" s="34"/>
      <c r="H437" s="35"/>
    </row>
    <row r="438" spans="1:8" x14ac:dyDescent="0.2">
      <c r="A438" s="28"/>
      <c r="F438" s="34"/>
      <c r="H438" s="35"/>
    </row>
    <row r="439" spans="1:8" x14ac:dyDescent="0.2">
      <c r="A439" s="28"/>
      <c r="F439" s="34"/>
      <c r="H439" s="35"/>
    </row>
    <row r="440" spans="1:8" x14ac:dyDescent="0.2">
      <c r="A440" s="28"/>
      <c r="F440" s="34"/>
      <c r="H440" s="35"/>
    </row>
    <row r="441" spans="1:8" x14ac:dyDescent="0.2">
      <c r="A441" s="28"/>
      <c r="F441" s="34"/>
      <c r="H441" s="35"/>
    </row>
    <row r="442" spans="1:8" x14ac:dyDescent="0.2">
      <c r="A442" s="28"/>
      <c r="F442" s="34"/>
      <c r="H442" s="35"/>
    </row>
    <row r="443" spans="1:8" x14ac:dyDescent="0.2">
      <c r="A443" s="28"/>
      <c r="F443" s="34"/>
      <c r="H443" s="35"/>
    </row>
    <row r="444" spans="1:8" x14ac:dyDescent="0.2">
      <c r="A444" s="28"/>
      <c r="F444" s="34"/>
      <c r="H444" s="35"/>
    </row>
    <row r="445" spans="1:8" x14ac:dyDescent="0.2">
      <c r="A445" s="28"/>
      <c r="F445" s="34"/>
      <c r="H445" s="35"/>
    </row>
    <row r="446" spans="1:8" x14ac:dyDescent="0.2">
      <c r="A446" s="28"/>
      <c r="F446" s="34"/>
      <c r="H446" s="35"/>
    </row>
    <row r="447" spans="1:8" x14ac:dyDescent="0.2">
      <c r="A447" s="28"/>
      <c r="F447" s="34"/>
      <c r="H447" s="35"/>
    </row>
    <row r="448" spans="1:8" x14ac:dyDescent="0.2">
      <c r="A448" s="28"/>
      <c r="F448" s="34"/>
      <c r="H448" s="35"/>
    </row>
    <row r="449" spans="1:8" x14ac:dyDescent="0.2">
      <c r="A449" s="28"/>
      <c r="F449" s="34"/>
      <c r="H449" s="35"/>
    </row>
    <row r="450" spans="1:8" x14ac:dyDescent="0.2">
      <c r="A450" s="28"/>
      <c r="F450" s="34"/>
      <c r="H450" s="35"/>
    </row>
    <row r="451" spans="1:8" x14ac:dyDescent="0.2">
      <c r="A451" s="28"/>
      <c r="F451" s="34"/>
      <c r="H451" s="35"/>
    </row>
    <row r="452" spans="1:8" x14ac:dyDescent="0.2">
      <c r="A452" s="28"/>
      <c r="F452" s="34"/>
      <c r="H452" s="35"/>
    </row>
    <row r="453" spans="1:8" x14ac:dyDescent="0.2">
      <c r="A453" s="28"/>
      <c r="F453" s="34"/>
      <c r="H453" s="35"/>
    </row>
    <row r="454" spans="1:8" x14ac:dyDescent="0.2">
      <c r="A454" s="28"/>
      <c r="F454" s="34"/>
      <c r="H454" s="35"/>
    </row>
    <row r="455" spans="1:8" x14ac:dyDescent="0.2">
      <c r="A455" s="28"/>
      <c r="F455" s="34"/>
      <c r="H455" s="35"/>
    </row>
    <row r="456" spans="1:8" x14ac:dyDescent="0.2">
      <c r="A456" s="28"/>
      <c r="F456" s="34"/>
      <c r="H456" s="35"/>
    </row>
    <row r="457" spans="1:8" x14ac:dyDescent="0.2">
      <c r="A457" s="28"/>
      <c r="F457" s="34"/>
      <c r="H457" s="35"/>
    </row>
    <row r="458" spans="1:8" x14ac:dyDescent="0.2">
      <c r="A458" s="28"/>
      <c r="F458" s="34"/>
      <c r="H458" s="35"/>
    </row>
    <row r="459" spans="1:8" x14ac:dyDescent="0.2">
      <c r="A459" s="28"/>
      <c r="F459" s="34"/>
      <c r="H459" s="35"/>
    </row>
    <row r="460" spans="1:8" x14ac:dyDescent="0.2">
      <c r="A460" s="28"/>
      <c r="F460" s="34"/>
      <c r="H460" s="35"/>
    </row>
    <row r="461" spans="1:8" x14ac:dyDescent="0.2">
      <c r="A461" s="28"/>
      <c r="F461" s="34"/>
      <c r="H461" s="35"/>
    </row>
    <row r="462" spans="1:8" x14ac:dyDescent="0.2">
      <c r="A462" s="28"/>
      <c r="F462" s="34"/>
      <c r="H462" s="35"/>
    </row>
    <row r="463" spans="1:8" x14ac:dyDescent="0.2">
      <c r="A463" s="28"/>
      <c r="F463" s="34"/>
      <c r="H463" s="35"/>
    </row>
    <row r="464" spans="1:8" x14ac:dyDescent="0.2">
      <c r="A464" s="28"/>
      <c r="F464" s="34"/>
      <c r="H464" s="35"/>
    </row>
    <row r="465" spans="1:8" x14ac:dyDescent="0.2">
      <c r="A465" s="28"/>
      <c r="F465" s="34"/>
      <c r="H465" s="35"/>
    </row>
    <row r="466" spans="1:8" x14ac:dyDescent="0.2">
      <c r="A466" s="28"/>
      <c r="F466" s="34"/>
      <c r="H466" s="35"/>
    </row>
    <row r="467" spans="1:8" x14ac:dyDescent="0.2">
      <c r="A467" s="28"/>
      <c r="F467" s="34"/>
      <c r="H467" s="35"/>
    </row>
    <row r="468" spans="1:8" x14ac:dyDescent="0.2">
      <c r="A468" s="28"/>
      <c r="F468" s="34"/>
      <c r="H468" s="35"/>
    </row>
    <row r="469" spans="1:8" x14ac:dyDescent="0.2">
      <c r="A469" s="28"/>
      <c r="F469" s="34"/>
      <c r="H469" s="35"/>
    </row>
    <row r="470" spans="1:8" x14ac:dyDescent="0.2">
      <c r="A470" s="28"/>
      <c r="F470" s="34"/>
      <c r="H470" s="35"/>
    </row>
    <row r="471" spans="1:8" x14ac:dyDescent="0.2">
      <c r="A471" s="28"/>
      <c r="F471" s="34"/>
      <c r="H471" s="35"/>
    </row>
    <row r="472" spans="1:8" x14ac:dyDescent="0.2">
      <c r="A472" s="28"/>
      <c r="F472" s="34"/>
      <c r="H472" s="35"/>
    </row>
    <row r="473" spans="1:8" x14ac:dyDescent="0.2">
      <c r="A473" s="28"/>
      <c r="F473" s="34"/>
      <c r="H473" s="35"/>
    </row>
    <row r="474" spans="1:8" x14ac:dyDescent="0.2">
      <c r="A474" s="28"/>
      <c r="F474" s="34"/>
      <c r="H474" s="35"/>
    </row>
    <row r="475" spans="1:8" x14ac:dyDescent="0.2">
      <c r="A475" s="28"/>
      <c r="F475" s="34"/>
      <c r="H475" s="35"/>
    </row>
    <row r="476" spans="1:8" x14ac:dyDescent="0.2">
      <c r="A476" s="28"/>
      <c r="F476" s="34"/>
      <c r="H476" s="35"/>
    </row>
    <row r="477" spans="1:8" x14ac:dyDescent="0.2">
      <c r="A477" s="28"/>
      <c r="F477" s="34"/>
      <c r="H477" s="35"/>
    </row>
    <row r="478" spans="1:8" x14ac:dyDescent="0.2">
      <c r="A478" s="28"/>
      <c r="F478" s="34"/>
      <c r="H478" s="35"/>
    </row>
    <row r="479" spans="1:8" x14ac:dyDescent="0.2">
      <c r="A479" s="28"/>
      <c r="F479" s="34"/>
      <c r="H479" s="35"/>
    </row>
    <row r="480" spans="1:8" x14ac:dyDescent="0.2">
      <c r="A480" s="28"/>
      <c r="F480" s="34"/>
      <c r="H480" s="35"/>
    </row>
    <row r="481" spans="1:8" x14ac:dyDescent="0.2">
      <c r="A481" s="28"/>
      <c r="F481" s="34"/>
      <c r="H481" s="35"/>
    </row>
    <row r="482" spans="1:8" x14ac:dyDescent="0.2">
      <c r="A482" s="28"/>
      <c r="F482" s="34"/>
      <c r="H482" s="35"/>
    </row>
    <row r="483" spans="1:8" x14ac:dyDescent="0.2">
      <c r="A483" s="28"/>
      <c r="F483" s="34"/>
      <c r="H483" s="35"/>
    </row>
    <row r="484" spans="1:8" x14ac:dyDescent="0.2">
      <c r="A484" s="28"/>
      <c r="F484" s="34"/>
      <c r="H484" s="35"/>
    </row>
    <row r="485" spans="1:8" x14ac:dyDescent="0.2">
      <c r="A485" s="28"/>
      <c r="F485" s="34"/>
      <c r="H485" s="35"/>
    </row>
    <row r="486" spans="1:8" x14ac:dyDescent="0.2">
      <c r="A486" s="28"/>
      <c r="F486" s="34"/>
      <c r="H486" s="35"/>
    </row>
    <row r="487" spans="1:8" x14ac:dyDescent="0.2">
      <c r="A487" s="28"/>
      <c r="F487" s="34"/>
      <c r="H487" s="35"/>
    </row>
    <row r="488" spans="1:8" x14ac:dyDescent="0.2">
      <c r="A488" s="28"/>
      <c r="F488" s="34"/>
      <c r="H488" s="35"/>
    </row>
    <row r="489" spans="1:8" x14ac:dyDescent="0.2">
      <c r="A489" s="28"/>
      <c r="F489" s="34"/>
      <c r="H489" s="35"/>
    </row>
    <row r="490" spans="1:8" x14ac:dyDescent="0.2">
      <c r="A490" s="28"/>
      <c r="F490" s="34"/>
      <c r="H490" s="35"/>
    </row>
    <row r="491" spans="1:8" x14ac:dyDescent="0.2">
      <c r="A491" s="28"/>
      <c r="F491" s="34"/>
      <c r="H491" s="35"/>
    </row>
    <row r="492" spans="1:8" x14ac:dyDescent="0.2">
      <c r="A492" s="28"/>
      <c r="F492" s="34"/>
      <c r="H492" s="35"/>
    </row>
    <row r="493" spans="1:8" x14ac:dyDescent="0.2">
      <c r="A493" s="28"/>
      <c r="F493" s="34"/>
      <c r="H493" s="35"/>
    </row>
    <row r="494" spans="1:8" x14ac:dyDescent="0.2">
      <c r="A494" s="28"/>
      <c r="F494" s="34"/>
      <c r="H494" s="35"/>
    </row>
    <row r="495" spans="1:8" x14ac:dyDescent="0.2">
      <c r="A495" s="28"/>
      <c r="F495" s="34"/>
      <c r="H495" s="35"/>
    </row>
    <row r="496" spans="1:8" x14ac:dyDescent="0.2">
      <c r="A496" s="28"/>
      <c r="F496" s="34"/>
      <c r="H496" s="35"/>
    </row>
    <row r="497" spans="1:8" x14ac:dyDescent="0.2">
      <c r="A497" s="28"/>
      <c r="F497" s="34"/>
      <c r="H497" s="35"/>
    </row>
    <row r="498" spans="1:8" x14ac:dyDescent="0.2">
      <c r="A498" s="28"/>
      <c r="F498" s="34"/>
      <c r="H498" s="35"/>
    </row>
    <row r="499" spans="1:8" x14ac:dyDescent="0.2">
      <c r="A499" s="28"/>
      <c r="F499" s="34"/>
      <c r="H499" s="35"/>
    </row>
    <row r="500" spans="1:8" x14ac:dyDescent="0.2">
      <c r="A500" s="28"/>
      <c r="F500" s="34"/>
      <c r="H500" s="35"/>
    </row>
    <row r="501" spans="1:8" x14ac:dyDescent="0.2">
      <c r="A501" s="28"/>
      <c r="F501" s="34"/>
      <c r="H501" s="35"/>
    </row>
    <row r="502" spans="1:8" x14ac:dyDescent="0.2">
      <c r="A502" s="28"/>
      <c r="F502" s="34"/>
      <c r="H502" s="35"/>
    </row>
    <row r="503" spans="1:8" x14ac:dyDescent="0.2">
      <c r="A503" s="28"/>
      <c r="F503" s="34"/>
      <c r="H503" s="35"/>
    </row>
    <row r="504" spans="1:8" x14ac:dyDescent="0.2">
      <c r="A504" s="28"/>
      <c r="F504" s="34"/>
      <c r="H504" s="35"/>
    </row>
    <row r="505" spans="1:8" x14ac:dyDescent="0.2">
      <c r="A505" s="28"/>
      <c r="F505" s="34"/>
      <c r="H505" s="35"/>
    </row>
    <row r="506" spans="1:8" x14ac:dyDescent="0.2">
      <c r="A506" s="28"/>
      <c r="F506" s="34"/>
      <c r="H506" s="35"/>
    </row>
    <row r="507" spans="1:8" x14ac:dyDescent="0.2">
      <c r="A507" s="28"/>
      <c r="F507" s="34"/>
      <c r="H507" s="35"/>
    </row>
    <row r="508" spans="1:8" x14ac:dyDescent="0.2">
      <c r="A508" s="28"/>
      <c r="F508" s="34"/>
      <c r="H508" s="35"/>
    </row>
    <row r="509" spans="1:8" x14ac:dyDescent="0.2">
      <c r="A509" s="28"/>
      <c r="F509" s="34"/>
      <c r="H509" s="35"/>
    </row>
    <row r="510" spans="1:8" x14ac:dyDescent="0.2">
      <c r="A510" s="28"/>
      <c r="F510" s="34"/>
      <c r="H510" s="35"/>
    </row>
    <row r="511" spans="1:8" x14ac:dyDescent="0.2">
      <c r="A511" s="28"/>
      <c r="F511" s="34"/>
      <c r="H511" s="35"/>
    </row>
    <row r="512" spans="1:8" x14ac:dyDescent="0.2">
      <c r="A512" s="28"/>
      <c r="F512" s="34"/>
      <c r="H512" s="35"/>
    </row>
    <row r="513" spans="1:8" x14ac:dyDescent="0.2">
      <c r="A513" s="28"/>
      <c r="F513" s="34"/>
      <c r="H513" s="35"/>
    </row>
    <row r="514" spans="1:8" x14ac:dyDescent="0.2">
      <c r="A514" s="28"/>
      <c r="F514" s="34"/>
      <c r="H514" s="35"/>
    </row>
    <row r="515" spans="1:8" x14ac:dyDescent="0.2">
      <c r="A515" s="28"/>
      <c r="F515" s="34"/>
      <c r="H515" s="35"/>
    </row>
    <row r="516" spans="1:8" x14ac:dyDescent="0.2">
      <c r="A516" s="28"/>
      <c r="F516" s="34"/>
      <c r="H516" s="35"/>
    </row>
    <row r="517" spans="1:8" x14ac:dyDescent="0.2">
      <c r="A517" s="28"/>
      <c r="F517" s="34"/>
      <c r="H517" s="35"/>
    </row>
    <row r="518" spans="1:8" x14ac:dyDescent="0.2">
      <c r="A518" s="28"/>
      <c r="F518" s="34"/>
      <c r="H518" s="35"/>
    </row>
    <row r="519" spans="1:8" x14ac:dyDescent="0.2">
      <c r="A519" s="28"/>
      <c r="F519" s="34"/>
      <c r="H519" s="35"/>
    </row>
    <row r="520" spans="1:8" x14ac:dyDescent="0.2">
      <c r="A520" s="28"/>
      <c r="F520" s="34"/>
      <c r="H520" s="35"/>
    </row>
    <row r="521" spans="1:8" x14ac:dyDescent="0.2">
      <c r="A521" s="28"/>
      <c r="F521" s="34"/>
      <c r="H521" s="35"/>
    </row>
    <row r="522" spans="1:8" x14ac:dyDescent="0.2">
      <c r="A522" s="28"/>
      <c r="F522" s="34"/>
      <c r="H522" s="35"/>
    </row>
    <row r="523" spans="1:8" x14ac:dyDescent="0.2">
      <c r="A523" s="28"/>
      <c r="F523" s="34"/>
      <c r="H523" s="35"/>
    </row>
    <row r="524" spans="1:8" x14ac:dyDescent="0.2">
      <c r="A524" s="28"/>
      <c r="F524" s="34"/>
      <c r="H524" s="35"/>
    </row>
    <row r="525" spans="1:8" x14ac:dyDescent="0.2">
      <c r="A525" s="28"/>
      <c r="F525" s="34"/>
      <c r="H525" s="35"/>
    </row>
    <row r="526" spans="1:8" x14ac:dyDescent="0.2">
      <c r="A526" s="28"/>
      <c r="F526" s="34"/>
      <c r="H526" s="35"/>
    </row>
    <row r="527" spans="1:8" x14ac:dyDescent="0.2">
      <c r="A527" s="28"/>
      <c r="F527" s="34"/>
      <c r="H527" s="35"/>
    </row>
    <row r="528" spans="1:8" x14ac:dyDescent="0.2">
      <c r="A528" s="28"/>
      <c r="F528" s="34"/>
      <c r="H528" s="35"/>
    </row>
    <row r="529" spans="1:8" x14ac:dyDescent="0.2">
      <c r="A529" s="28"/>
      <c r="F529" s="34"/>
      <c r="H529" s="35"/>
    </row>
    <row r="530" spans="1:8" x14ac:dyDescent="0.2">
      <c r="A530" s="28"/>
      <c r="F530" s="34"/>
      <c r="H530" s="35"/>
    </row>
    <row r="531" spans="1:8" x14ac:dyDescent="0.2">
      <c r="A531" s="28"/>
      <c r="F531" s="34"/>
      <c r="H531" s="35"/>
    </row>
    <row r="532" spans="1:8" x14ac:dyDescent="0.2">
      <c r="A532" s="28"/>
      <c r="F532" s="34"/>
      <c r="H532" s="35"/>
    </row>
    <row r="533" spans="1:8" x14ac:dyDescent="0.2">
      <c r="A533" s="28"/>
      <c r="F533" s="34"/>
      <c r="H533" s="35"/>
    </row>
    <row r="534" spans="1:8" x14ac:dyDescent="0.2">
      <c r="A534" s="28"/>
      <c r="F534" s="34"/>
      <c r="H534" s="35"/>
    </row>
    <row r="535" spans="1:8" x14ac:dyDescent="0.2">
      <c r="A535" s="28"/>
      <c r="F535" s="34"/>
      <c r="H535" s="35"/>
    </row>
    <row r="536" spans="1:8" x14ac:dyDescent="0.2">
      <c r="A536" s="28"/>
      <c r="F536" s="34"/>
      <c r="H536" s="35"/>
    </row>
    <row r="537" spans="1:8" x14ac:dyDescent="0.2">
      <c r="A537" s="28"/>
      <c r="F537" s="34"/>
      <c r="H537" s="35"/>
    </row>
    <row r="538" spans="1:8" x14ac:dyDescent="0.2">
      <c r="A538" s="28"/>
      <c r="F538" s="34"/>
      <c r="H538" s="35"/>
    </row>
    <row r="539" spans="1:8" x14ac:dyDescent="0.2">
      <c r="A539" s="28"/>
      <c r="F539" s="34"/>
      <c r="H539" s="35"/>
    </row>
    <row r="540" spans="1:8" x14ac:dyDescent="0.2">
      <c r="A540" s="28"/>
      <c r="F540" s="34"/>
      <c r="H540" s="35"/>
    </row>
    <row r="541" spans="1:8" x14ac:dyDescent="0.2">
      <c r="A541" s="28"/>
      <c r="F541" s="34"/>
      <c r="H541" s="35"/>
    </row>
    <row r="542" spans="1:8" x14ac:dyDescent="0.2">
      <c r="A542" s="28"/>
      <c r="F542" s="34"/>
      <c r="H542" s="35"/>
    </row>
    <row r="543" spans="1:8" x14ac:dyDescent="0.2">
      <c r="A543" s="28"/>
      <c r="F543" s="34"/>
      <c r="H543" s="35"/>
    </row>
    <row r="544" spans="1:8" x14ac:dyDescent="0.2">
      <c r="A544" s="28"/>
      <c r="F544" s="34"/>
      <c r="H544" s="35"/>
    </row>
    <row r="545" spans="1:8" x14ac:dyDescent="0.2">
      <c r="A545" s="28"/>
      <c r="F545" s="34"/>
      <c r="H545" s="35"/>
    </row>
    <row r="546" spans="1:8" x14ac:dyDescent="0.2">
      <c r="A546" s="28"/>
      <c r="F546" s="34"/>
      <c r="H546" s="35"/>
    </row>
    <row r="547" spans="1:8" x14ac:dyDescent="0.2">
      <c r="A547" s="28"/>
      <c r="F547" s="34"/>
      <c r="H547" s="35"/>
    </row>
    <row r="548" spans="1:8" x14ac:dyDescent="0.2">
      <c r="A548" s="28"/>
      <c r="F548" s="34"/>
      <c r="H548" s="35"/>
    </row>
    <row r="549" spans="1:8" x14ac:dyDescent="0.2">
      <c r="A549" s="28"/>
      <c r="F549" s="34"/>
      <c r="H549" s="35"/>
    </row>
    <row r="550" spans="1:8" x14ac:dyDescent="0.2">
      <c r="A550" s="28"/>
      <c r="F550" s="34"/>
      <c r="H550" s="35"/>
    </row>
    <row r="551" spans="1:8" x14ac:dyDescent="0.2">
      <c r="A551" s="28"/>
      <c r="F551" s="34"/>
      <c r="H551" s="35"/>
    </row>
    <row r="552" spans="1:8" x14ac:dyDescent="0.2">
      <c r="A552" s="28"/>
      <c r="F552" s="34"/>
      <c r="H552" s="35"/>
    </row>
    <row r="553" spans="1:8" x14ac:dyDescent="0.2">
      <c r="A553" s="28"/>
      <c r="F553" s="34"/>
      <c r="H553" s="35"/>
    </row>
    <row r="554" spans="1:8" x14ac:dyDescent="0.2">
      <c r="A554" s="28"/>
      <c r="F554" s="34"/>
      <c r="H554" s="35"/>
    </row>
    <row r="555" spans="1:8" x14ac:dyDescent="0.2">
      <c r="A555" s="28"/>
      <c r="F555" s="34"/>
      <c r="H555" s="35"/>
    </row>
    <row r="556" spans="1:8" x14ac:dyDescent="0.2">
      <c r="A556" s="28"/>
      <c r="F556" s="34"/>
      <c r="H556" s="35"/>
    </row>
    <row r="557" spans="1:8" x14ac:dyDescent="0.2">
      <c r="A557" s="28"/>
      <c r="F557" s="34"/>
      <c r="H557" s="35"/>
    </row>
    <row r="558" spans="1:8" x14ac:dyDescent="0.2">
      <c r="A558" s="28"/>
      <c r="F558" s="34"/>
      <c r="H558" s="35"/>
    </row>
    <row r="559" spans="1:8" x14ac:dyDescent="0.2">
      <c r="A559" s="28"/>
      <c r="F559" s="34"/>
      <c r="H559" s="35"/>
    </row>
    <row r="560" spans="1:8" x14ac:dyDescent="0.2">
      <c r="A560" s="28"/>
      <c r="F560" s="34"/>
      <c r="H560" s="35"/>
    </row>
    <row r="561" spans="1:8" x14ac:dyDescent="0.2">
      <c r="A561" s="28"/>
      <c r="F561" s="34"/>
      <c r="H561" s="35"/>
    </row>
    <row r="562" spans="1:8" x14ac:dyDescent="0.2">
      <c r="A562" s="28"/>
      <c r="F562" s="34"/>
      <c r="H562" s="35"/>
    </row>
    <row r="563" spans="1:8" x14ac:dyDescent="0.2">
      <c r="A563" s="28"/>
      <c r="F563" s="34"/>
      <c r="H563" s="35"/>
    </row>
    <row r="564" spans="1:8" x14ac:dyDescent="0.2">
      <c r="A564" s="28"/>
      <c r="F564" s="34"/>
      <c r="H564" s="35"/>
    </row>
    <row r="565" spans="1:8" x14ac:dyDescent="0.2">
      <c r="A565" s="28"/>
      <c r="F565" s="34"/>
      <c r="H565" s="35"/>
    </row>
    <row r="566" spans="1:8" x14ac:dyDescent="0.2">
      <c r="A566" s="28"/>
      <c r="F566" s="34"/>
      <c r="H566" s="35"/>
    </row>
    <row r="567" spans="1:8" x14ac:dyDescent="0.2">
      <c r="A567" s="28"/>
      <c r="F567" s="34"/>
      <c r="H567" s="35"/>
    </row>
    <row r="568" spans="1:8" x14ac:dyDescent="0.2">
      <c r="A568" s="28"/>
      <c r="F568" s="34"/>
      <c r="H568" s="35"/>
    </row>
    <row r="569" spans="1:8" x14ac:dyDescent="0.2">
      <c r="A569" s="28"/>
      <c r="F569" s="34"/>
      <c r="H569" s="35"/>
    </row>
    <row r="570" spans="1:8" x14ac:dyDescent="0.2">
      <c r="A570" s="28"/>
      <c r="F570" s="34"/>
      <c r="H570" s="35"/>
    </row>
    <row r="571" spans="1:8" x14ac:dyDescent="0.2">
      <c r="A571" s="28"/>
      <c r="F571" s="34"/>
      <c r="H571" s="35"/>
    </row>
    <row r="572" spans="1:8" x14ac:dyDescent="0.2">
      <c r="A572" s="28"/>
      <c r="F572" s="34"/>
      <c r="H572" s="35"/>
    </row>
    <row r="573" spans="1:8" x14ac:dyDescent="0.2">
      <c r="A573" s="28"/>
      <c r="F573" s="34"/>
      <c r="H573" s="35"/>
    </row>
    <row r="574" spans="1:8" x14ac:dyDescent="0.2">
      <c r="A574" s="28"/>
      <c r="F574" s="34"/>
      <c r="H574" s="35"/>
    </row>
    <row r="575" spans="1:8" x14ac:dyDescent="0.2">
      <c r="A575" s="28"/>
      <c r="F575" s="34"/>
      <c r="H575" s="35"/>
    </row>
    <row r="576" spans="1:8" x14ac:dyDescent="0.2">
      <c r="A576" s="28"/>
      <c r="F576" s="34"/>
      <c r="H576" s="35"/>
    </row>
    <row r="577" spans="1:8" x14ac:dyDescent="0.2">
      <c r="A577" s="28"/>
      <c r="F577" s="34"/>
      <c r="H577" s="35"/>
    </row>
    <row r="578" spans="1:8" x14ac:dyDescent="0.2">
      <c r="A578" s="28"/>
      <c r="F578" s="34"/>
      <c r="H578" s="35"/>
    </row>
    <row r="579" spans="1:8" x14ac:dyDescent="0.2">
      <c r="A579" s="28"/>
      <c r="F579" s="34"/>
      <c r="H579" s="35"/>
    </row>
    <row r="580" spans="1:8" x14ac:dyDescent="0.2">
      <c r="A580" s="28"/>
      <c r="F580" s="34"/>
      <c r="H580" s="35"/>
    </row>
    <row r="581" spans="1:8" x14ac:dyDescent="0.2">
      <c r="A581" s="28"/>
      <c r="F581" s="34"/>
      <c r="H581" s="35"/>
    </row>
    <row r="582" spans="1:8" x14ac:dyDescent="0.2">
      <c r="A582" s="28"/>
      <c r="F582" s="34"/>
      <c r="H582" s="35"/>
    </row>
    <row r="583" spans="1:8" x14ac:dyDescent="0.2">
      <c r="A583" s="28"/>
      <c r="F583" s="34"/>
      <c r="H583" s="35"/>
    </row>
    <row r="584" spans="1:8" x14ac:dyDescent="0.2">
      <c r="A584" s="28"/>
      <c r="F584" s="34"/>
      <c r="H584" s="35"/>
    </row>
    <row r="585" spans="1:8" x14ac:dyDescent="0.2">
      <c r="A585" s="28"/>
      <c r="F585" s="34"/>
      <c r="H585" s="35"/>
    </row>
    <row r="586" spans="1:8" x14ac:dyDescent="0.2">
      <c r="A586" s="28"/>
      <c r="F586" s="34"/>
      <c r="H586" s="35"/>
    </row>
    <row r="587" spans="1:8" x14ac:dyDescent="0.2">
      <c r="A587" s="28"/>
      <c r="F587" s="34"/>
      <c r="H587" s="35"/>
    </row>
    <row r="588" spans="1:8" x14ac:dyDescent="0.2">
      <c r="A588" s="28"/>
      <c r="F588" s="34"/>
      <c r="H588" s="35"/>
    </row>
    <row r="589" spans="1:8" x14ac:dyDescent="0.2">
      <c r="A589" s="28"/>
      <c r="F589" s="34"/>
      <c r="H589" s="35"/>
    </row>
    <row r="590" spans="1:8" x14ac:dyDescent="0.2">
      <c r="A590" s="28"/>
      <c r="F590" s="34"/>
      <c r="H590" s="35"/>
    </row>
    <row r="591" spans="1:8" x14ac:dyDescent="0.2">
      <c r="A591" s="28"/>
      <c r="F591" s="34"/>
      <c r="H591" s="35"/>
    </row>
    <row r="592" spans="1:8" x14ac:dyDescent="0.2">
      <c r="A592" s="28"/>
      <c r="F592" s="34"/>
      <c r="H592" s="35"/>
    </row>
    <row r="593" spans="1:8" x14ac:dyDescent="0.2">
      <c r="A593" s="28"/>
      <c r="F593" s="34"/>
      <c r="H593" s="35"/>
    </row>
    <row r="594" spans="1:8" x14ac:dyDescent="0.2">
      <c r="A594" s="28"/>
      <c r="F594" s="34"/>
      <c r="H594" s="35"/>
    </row>
    <row r="595" spans="1:8" x14ac:dyDescent="0.2">
      <c r="A595" s="28"/>
      <c r="F595" s="34"/>
      <c r="H595" s="35"/>
    </row>
    <row r="596" spans="1:8" x14ac:dyDescent="0.2">
      <c r="A596" s="28"/>
      <c r="F596" s="34"/>
      <c r="H596" s="35"/>
    </row>
    <row r="597" spans="1:8" x14ac:dyDescent="0.2">
      <c r="A597" s="28"/>
      <c r="F597" s="34"/>
      <c r="H597" s="35"/>
    </row>
    <row r="598" spans="1:8" x14ac:dyDescent="0.2">
      <c r="A598" s="28"/>
      <c r="F598" s="34"/>
      <c r="H598" s="35"/>
    </row>
    <row r="599" spans="1:8" x14ac:dyDescent="0.2">
      <c r="A599" s="28"/>
      <c r="F599" s="34"/>
      <c r="H599" s="35"/>
    </row>
    <row r="600" spans="1:8" x14ac:dyDescent="0.2">
      <c r="A600" s="28"/>
      <c r="F600" s="34"/>
      <c r="H600" s="35"/>
    </row>
    <row r="601" spans="1:8" x14ac:dyDescent="0.2">
      <c r="A601" s="28"/>
      <c r="F601" s="34"/>
      <c r="H601" s="35"/>
    </row>
    <row r="602" spans="1:8" x14ac:dyDescent="0.2">
      <c r="A602" s="28"/>
      <c r="F602" s="34"/>
      <c r="H602" s="35"/>
    </row>
    <row r="603" spans="1:8" x14ac:dyDescent="0.2">
      <c r="A603" s="28"/>
      <c r="F603" s="34"/>
      <c r="H603" s="35"/>
    </row>
    <row r="604" spans="1:8" x14ac:dyDescent="0.2">
      <c r="A604" s="28"/>
      <c r="F604" s="34"/>
      <c r="H604" s="35"/>
    </row>
    <row r="605" spans="1:8" x14ac:dyDescent="0.2">
      <c r="A605" s="28"/>
      <c r="F605" s="34"/>
      <c r="H605" s="35"/>
    </row>
    <row r="606" spans="1:8" x14ac:dyDescent="0.2">
      <c r="A606" s="28"/>
      <c r="F606" s="34"/>
      <c r="H606" s="35"/>
    </row>
    <row r="607" spans="1:8" x14ac:dyDescent="0.2">
      <c r="A607" s="28"/>
      <c r="F607" s="34"/>
      <c r="H607" s="35"/>
    </row>
    <row r="608" spans="1:8" x14ac:dyDescent="0.2">
      <c r="A608" s="28"/>
      <c r="F608" s="34"/>
      <c r="H608" s="35"/>
    </row>
    <row r="609" spans="1:8" x14ac:dyDescent="0.2">
      <c r="A609" s="28"/>
      <c r="F609" s="34"/>
      <c r="H609" s="35"/>
    </row>
    <row r="610" spans="1:8" x14ac:dyDescent="0.2">
      <c r="A610" s="28"/>
      <c r="F610" s="34"/>
      <c r="H610" s="35"/>
    </row>
    <row r="611" spans="1:8" x14ac:dyDescent="0.2">
      <c r="A611" s="28"/>
      <c r="F611" s="34"/>
      <c r="H611" s="35"/>
    </row>
    <row r="612" spans="1:8" x14ac:dyDescent="0.2">
      <c r="A612" s="28"/>
      <c r="F612" s="34"/>
      <c r="H612" s="35"/>
    </row>
    <row r="613" spans="1:8" x14ac:dyDescent="0.2">
      <c r="A613" s="28"/>
      <c r="F613" s="34"/>
      <c r="H613" s="35"/>
    </row>
    <row r="614" spans="1:8" x14ac:dyDescent="0.2">
      <c r="A614" s="28"/>
      <c r="F614" s="34"/>
      <c r="H614" s="35"/>
    </row>
    <row r="615" spans="1:8" x14ac:dyDescent="0.2">
      <c r="A615" s="28"/>
      <c r="F615" s="34"/>
      <c r="H615" s="35"/>
    </row>
    <row r="616" spans="1:8" x14ac:dyDescent="0.2">
      <c r="A616" s="28"/>
      <c r="F616" s="34"/>
      <c r="H616" s="35"/>
    </row>
    <row r="617" spans="1:8" x14ac:dyDescent="0.2">
      <c r="A617" s="28"/>
      <c r="F617" s="34"/>
      <c r="H617" s="35"/>
    </row>
    <row r="618" spans="1:8" x14ac:dyDescent="0.2">
      <c r="A618" s="28"/>
      <c r="F618" s="34"/>
      <c r="H618" s="35"/>
    </row>
    <row r="619" spans="1:8" x14ac:dyDescent="0.2">
      <c r="A619" s="28"/>
      <c r="F619" s="34"/>
      <c r="H619" s="35"/>
    </row>
    <row r="620" spans="1:8" x14ac:dyDescent="0.2">
      <c r="A620" s="28"/>
      <c r="F620" s="34"/>
      <c r="H620" s="35"/>
    </row>
    <row r="621" spans="1:8" x14ac:dyDescent="0.2">
      <c r="A621" s="28"/>
      <c r="F621" s="34"/>
      <c r="H621" s="35"/>
    </row>
    <row r="622" spans="1:8" x14ac:dyDescent="0.2">
      <c r="A622" s="28"/>
      <c r="F622" s="34"/>
      <c r="H622" s="35"/>
    </row>
    <row r="623" spans="1:8" x14ac:dyDescent="0.2">
      <c r="A623" s="28"/>
      <c r="F623" s="34"/>
      <c r="H623" s="35"/>
    </row>
    <row r="624" spans="1:8" x14ac:dyDescent="0.2">
      <c r="A624" s="28"/>
      <c r="F624" s="34"/>
      <c r="H624" s="35"/>
    </row>
    <row r="625" spans="1:8" x14ac:dyDescent="0.2">
      <c r="A625" s="28"/>
      <c r="F625" s="34"/>
      <c r="H625" s="35"/>
    </row>
    <row r="626" spans="1:8" x14ac:dyDescent="0.2">
      <c r="A626" s="28"/>
      <c r="F626" s="34"/>
      <c r="H626" s="35"/>
    </row>
    <row r="627" spans="1:8" x14ac:dyDescent="0.2">
      <c r="A627" s="28"/>
      <c r="F627" s="34"/>
      <c r="H627" s="35"/>
    </row>
    <row r="628" spans="1:8" x14ac:dyDescent="0.2">
      <c r="A628" s="28"/>
      <c r="F628" s="34"/>
      <c r="H628" s="35"/>
    </row>
    <row r="629" spans="1:8" x14ac:dyDescent="0.2">
      <c r="A629" s="28"/>
      <c r="F629" s="34"/>
      <c r="H629" s="35"/>
    </row>
    <row r="630" spans="1:8" x14ac:dyDescent="0.2">
      <c r="A630" s="28"/>
      <c r="F630" s="34"/>
      <c r="H630" s="35"/>
    </row>
    <row r="631" spans="1:8" x14ac:dyDescent="0.2">
      <c r="A631" s="28"/>
      <c r="F631" s="34"/>
      <c r="H631" s="35"/>
    </row>
    <row r="632" spans="1:8" x14ac:dyDescent="0.2">
      <c r="A632" s="28"/>
      <c r="F632" s="34"/>
      <c r="H632" s="35"/>
    </row>
    <row r="633" spans="1:8" x14ac:dyDescent="0.2">
      <c r="A633" s="28"/>
      <c r="F633" s="34"/>
      <c r="H633" s="35"/>
    </row>
    <row r="634" spans="1:8" x14ac:dyDescent="0.2">
      <c r="A634" s="28"/>
      <c r="F634" s="34"/>
      <c r="H634" s="35"/>
    </row>
    <row r="635" spans="1:8" x14ac:dyDescent="0.2">
      <c r="A635" s="28"/>
      <c r="F635" s="34"/>
      <c r="H635" s="35"/>
    </row>
    <row r="636" spans="1:8" x14ac:dyDescent="0.2">
      <c r="A636" s="28"/>
      <c r="F636" s="34"/>
      <c r="H636" s="35"/>
    </row>
    <row r="637" spans="1:8" x14ac:dyDescent="0.2">
      <c r="A637" s="28"/>
      <c r="F637" s="34"/>
      <c r="H637" s="35"/>
    </row>
    <row r="638" spans="1:8" x14ac:dyDescent="0.2">
      <c r="A638" s="28"/>
      <c r="F638" s="34"/>
      <c r="H638" s="35"/>
    </row>
    <row r="639" spans="1:8" x14ac:dyDescent="0.2">
      <c r="A639" s="28"/>
      <c r="F639" s="34"/>
      <c r="H639" s="35"/>
    </row>
    <row r="640" spans="1:8" x14ac:dyDescent="0.2">
      <c r="A640" s="28"/>
      <c r="F640" s="34"/>
      <c r="H640" s="35"/>
    </row>
    <row r="641" spans="1:8" x14ac:dyDescent="0.2">
      <c r="A641" s="28"/>
      <c r="F641" s="34"/>
      <c r="H641" s="35"/>
    </row>
    <row r="642" spans="1:8" x14ac:dyDescent="0.2">
      <c r="A642" s="28"/>
      <c r="F642" s="34"/>
      <c r="H642" s="35"/>
    </row>
    <row r="643" spans="1:8" x14ac:dyDescent="0.2">
      <c r="A643" s="28"/>
      <c r="F643" s="34"/>
      <c r="H643" s="35"/>
    </row>
    <row r="644" spans="1:8" x14ac:dyDescent="0.2">
      <c r="A644" s="28"/>
      <c r="F644" s="34"/>
      <c r="H644" s="35"/>
    </row>
    <row r="645" spans="1:8" x14ac:dyDescent="0.2">
      <c r="A645" s="28"/>
      <c r="F645" s="34"/>
      <c r="H645" s="35"/>
    </row>
    <row r="646" spans="1:8" x14ac:dyDescent="0.2">
      <c r="A646" s="28"/>
      <c r="F646" s="34"/>
      <c r="H646" s="35"/>
    </row>
    <row r="647" spans="1:8" x14ac:dyDescent="0.2">
      <c r="A647" s="28"/>
      <c r="F647" s="34"/>
      <c r="H647" s="35"/>
    </row>
    <row r="648" spans="1:8" x14ac:dyDescent="0.2">
      <c r="A648" s="28"/>
      <c r="F648" s="34"/>
      <c r="H648" s="35"/>
    </row>
    <row r="649" spans="1:8" x14ac:dyDescent="0.2">
      <c r="A649" s="28"/>
      <c r="F649" s="34"/>
      <c r="H649" s="35"/>
    </row>
    <row r="650" spans="1:8" x14ac:dyDescent="0.2">
      <c r="A650" s="28"/>
      <c r="F650" s="34"/>
      <c r="H650" s="35"/>
    </row>
    <row r="651" spans="1:8" x14ac:dyDescent="0.2">
      <c r="A651" s="28"/>
      <c r="F651" s="34"/>
      <c r="H651" s="35"/>
    </row>
    <row r="652" spans="1:8" x14ac:dyDescent="0.2">
      <c r="A652" s="28"/>
      <c r="F652" s="34"/>
      <c r="H652" s="35"/>
    </row>
    <row r="653" spans="1:8" x14ac:dyDescent="0.2">
      <c r="A653" s="28"/>
      <c r="F653" s="34"/>
      <c r="H653" s="35"/>
    </row>
    <row r="654" spans="1:8" x14ac:dyDescent="0.2">
      <c r="A654" s="28"/>
      <c r="F654" s="34"/>
      <c r="H654" s="35"/>
    </row>
    <row r="655" spans="1:8" x14ac:dyDescent="0.2">
      <c r="A655" s="28"/>
      <c r="F655" s="34"/>
      <c r="H655" s="35"/>
    </row>
    <row r="656" spans="1:8" x14ac:dyDescent="0.2">
      <c r="A656" s="28"/>
      <c r="F656" s="34"/>
      <c r="H656" s="35"/>
    </row>
    <row r="657" spans="1:8" x14ac:dyDescent="0.2">
      <c r="A657" s="28"/>
      <c r="F657" s="34"/>
      <c r="H657" s="35"/>
    </row>
    <row r="658" spans="1:8" x14ac:dyDescent="0.2">
      <c r="A658" s="28"/>
      <c r="F658" s="34"/>
      <c r="H658" s="35"/>
    </row>
    <row r="659" spans="1:8" x14ac:dyDescent="0.2">
      <c r="A659" s="28"/>
      <c r="F659" s="34"/>
      <c r="H659" s="35"/>
    </row>
    <row r="660" spans="1:8" x14ac:dyDescent="0.2">
      <c r="A660" s="28"/>
      <c r="F660" s="34"/>
      <c r="H660" s="35"/>
    </row>
    <row r="661" spans="1:8" x14ac:dyDescent="0.2">
      <c r="A661" s="28"/>
      <c r="F661" s="34"/>
      <c r="H661" s="35"/>
    </row>
    <row r="662" spans="1:8" x14ac:dyDescent="0.2">
      <c r="A662" s="28"/>
      <c r="F662" s="34"/>
      <c r="H662" s="35"/>
    </row>
    <row r="663" spans="1:8" x14ac:dyDescent="0.2">
      <c r="A663" s="28"/>
      <c r="F663" s="34"/>
      <c r="H663" s="35"/>
    </row>
    <row r="664" spans="1:8" x14ac:dyDescent="0.2">
      <c r="A664" s="28"/>
      <c r="F664" s="34"/>
      <c r="H664" s="35"/>
    </row>
    <row r="665" spans="1:8" x14ac:dyDescent="0.2">
      <c r="A665" s="28"/>
      <c r="F665" s="34"/>
      <c r="H665" s="35"/>
    </row>
    <row r="666" spans="1:8" x14ac:dyDescent="0.2">
      <c r="A666" s="28"/>
      <c r="F666" s="34"/>
      <c r="H666" s="35"/>
    </row>
    <row r="667" spans="1:8" x14ac:dyDescent="0.2">
      <c r="A667" s="28"/>
      <c r="F667" s="34"/>
      <c r="H667" s="35"/>
    </row>
    <row r="668" spans="1:8" x14ac:dyDescent="0.2">
      <c r="A668" s="28"/>
      <c r="F668" s="34"/>
      <c r="H668" s="35"/>
    </row>
    <row r="669" spans="1:8" x14ac:dyDescent="0.2">
      <c r="A669" s="28"/>
      <c r="F669" s="34"/>
      <c r="H669" s="35"/>
    </row>
    <row r="670" spans="1:8" x14ac:dyDescent="0.2">
      <c r="A670" s="28"/>
      <c r="F670" s="34"/>
      <c r="H670" s="35"/>
    </row>
    <row r="671" spans="1:8" x14ac:dyDescent="0.2">
      <c r="A671" s="28"/>
      <c r="F671" s="34"/>
      <c r="H671" s="35"/>
    </row>
    <row r="672" spans="1:8" x14ac:dyDescent="0.2">
      <c r="A672" s="28"/>
      <c r="F672" s="34"/>
      <c r="H672" s="35"/>
    </row>
    <row r="673" spans="1:8" x14ac:dyDescent="0.2">
      <c r="A673" s="28"/>
      <c r="F673" s="34"/>
      <c r="H673" s="35"/>
    </row>
    <row r="674" spans="1:8" x14ac:dyDescent="0.2">
      <c r="A674" s="28"/>
      <c r="F674" s="34"/>
      <c r="H674" s="35"/>
    </row>
    <row r="675" spans="1:8" x14ac:dyDescent="0.2">
      <c r="A675" s="28"/>
      <c r="F675" s="34"/>
      <c r="H675" s="35"/>
    </row>
    <row r="676" spans="1:8" x14ac:dyDescent="0.2">
      <c r="A676" s="28"/>
      <c r="F676" s="34"/>
      <c r="H676" s="35"/>
    </row>
    <row r="677" spans="1:8" x14ac:dyDescent="0.2">
      <c r="A677" s="28"/>
      <c r="F677" s="34"/>
      <c r="H677" s="35"/>
    </row>
    <row r="678" spans="1:8" x14ac:dyDescent="0.2">
      <c r="A678" s="28"/>
      <c r="F678" s="34"/>
      <c r="H678" s="35"/>
    </row>
    <row r="679" spans="1:8" x14ac:dyDescent="0.2">
      <c r="A679" s="28"/>
      <c r="F679" s="34"/>
      <c r="H679" s="35"/>
    </row>
    <row r="680" spans="1:8" x14ac:dyDescent="0.2">
      <c r="A680" s="28"/>
      <c r="F680" s="34"/>
      <c r="H680" s="35"/>
    </row>
    <row r="681" spans="1:8" x14ac:dyDescent="0.2">
      <c r="A681" s="28"/>
      <c r="F681" s="34"/>
      <c r="H681" s="35"/>
    </row>
    <row r="682" spans="1:8" x14ac:dyDescent="0.2">
      <c r="A682" s="28"/>
      <c r="F682" s="34"/>
      <c r="H682" s="35"/>
    </row>
    <row r="683" spans="1:8" x14ac:dyDescent="0.2">
      <c r="A683" s="28"/>
      <c r="F683" s="34"/>
      <c r="H683" s="35"/>
    </row>
    <row r="684" spans="1:8" x14ac:dyDescent="0.2">
      <c r="A684" s="28"/>
      <c r="F684" s="34"/>
      <c r="H684" s="35"/>
    </row>
    <row r="685" spans="1:8" x14ac:dyDescent="0.2">
      <c r="A685" s="28"/>
      <c r="F685" s="34"/>
      <c r="H685" s="35"/>
    </row>
    <row r="686" spans="1:8" x14ac:dyDescent="0.2">
      <c r="A686" s="28"/>
      <c r="F686" s="34"/>
      <c r="H686" s="35"/>
    </row>
    <row r="687" spans="1:8" x14ac:dyDescent="0.2">
      <c r="A687" s="28"/>
      <c r="F687" s="34"/>
      <c r="H687" s="35"/>
    </row>
    <row r="688" spans="1:8" x14ac:dyDescent="0.2">
      <c r="A688" s="28"/>
      <c r="F688" s="34"/>
      <c r="H688" s="35"/>
    </row>
    <row r="689" spans="1:8" x14ac:dyDescent="0.2">
      <c r="A689" s="28"/>
      <c r="F689" s="34"/>
      <c r="H689" s="35"/>
    </row>
    <row r="690" spans="1:8" x14ac:dyDescent="0.2">
      <c r="A690" s="28"/>
      <c r="F690" s="34"/>
      <c r="H690" s="35"/>
    </row>
    <row r="691" spans="1:8" x14ac:dyDescent="0.2">
      <c r="A691" s="28"/>
      <c r="F691" s="34"/>
      <c r="H691" s="35"/>
    </row>
    <row r="692" spans="1:8" x14ac:dyDescent="0.2">
      <c r="A692" s="28"/>
      <c r="F692" s="34"/>
      <c r="H692" s="35"/>
    </row>
    <row r="693" spans="1:8" x14ac:dyDescent="0.2">
      <c r="A693" s="28"/>
      <c r="F693" s="34"/>
      <c r="H693" s="35"/>
    </row>
    <row r="694" spans="1:8" x14ac:dyDescent="0.2">
      <c r="A694" s="28"/>
      <c r="F694" s="34"/>
      <c r="H694" s="35"/>
    </row>
    <row r="695" spans="1:8" x14ac:dyDescent="0.2">
      <c r="A695" s="28"/>
      <c r="F695" s="34"/>
      <c r="H695" s="35"/>
    </row>
    <row r="696" spans="1:8" x14ac:dyDescent="0.2">
      <c r="A696" s="28"/>
      <c r="F696" s="34"/>
      <c r="H696" s="35"/>
    </row>
    <row r="697" spans="1:8" x14ac:dyDescent="0.2">
      <c r="A697" s="28"/>
      <c r="F697" s="34"/>
      <c r="H697" s="35"/>
    </row>
    <row r="698" spans="1:8" x14ac:dyDescent="0.2">
      <c r="A698" s="28"/>
      <c r="F698" s="34"/>
      <c r="H698" s="35"/>
    </row>
    <row r="699" spans="1:8" x14ac:dyDescent="0.2">
      <c r="A699" s="28"/>
      <c r="F699" s="34"/>
      <c r="H699" s="35"/>
    </row>
    <row r="700" spans="1:8" x14ac:dyDescent="0.2">
      <c r="A700" s="28"/>
      <c r="F700" s="34"/>
      <c r="H700" s="35"/>
    </row>
    <row r="701" spans="1:8" x14ac:dyDescent="0.2">
      <c r="A701" s="28"/>
      <c r="F701" s="34"/>
      <c r="H701" s="35"/>
    </row>
    <row r="702" spans="1:8" x14ac:dyDescent="0.2">
      <c r="A702" s="28"/>
      <c r="F702" s="34"/>
      <c r="H702" s="35"/>
    </row>
    <row r="703" spans="1:8" x14ac:dyDescent="0.2">
      <c r="A703" s="28"/>
      <c r="F703" s="34"/>
      <c r="H703" s="35"/>
    </row>
    <row r="704" spans="1:8" x14ac:dyDescent="0.2">
      <c r="A704" s="28"/>
      <c r="F704" s="34"/>
      <c r="H704" s="35"/>
    </row>
    <row r="705" spans="1:8" x14ac:dyDescent="0.2">
      <c r="A705" s="28"/>
      <c r="F705" s="34"/>
      <c r="H705" s="35"/>
    </row>
    <row r="706" spans="1:8" x14ac:dyDescent="0.2">
      <c r="A706" s="28"/>
      <c r="F706" s="34"/>
      <c r="H706" s="35"/>
    </row>
    <row r="707" spans="1:8" x14ac:dyDescent="0.2">
      <c r="A707" s="28"/>
      <c r="F707" s="34"/>
      <c r="H707" s="35"/>
    </row>
    <row r="708" spans="1:8" x14ac:dyDescent="0.2">
      <c r="A708" s="28"/>
      <c r="F708" s="34"/>
      <c r="H708" s="35"/>
    </row>
    <row r="709" spans="1:8" x14ac:dyDescent="0.2">
      <c r="A709" s="28"/>
      <c r="F709" s="34"/>
      <c r="H709" s="35"/>
    </row>
    <row r="710" spans="1:8" x14ac:dyDescent="0.2">
      <c r="A710" s="28"/>
      <c r="F710" s="34"/>
      <c r="H710" s="35"/>
    </row>
    <row r="711" spans="1:8" x14ac:dyDescent="0.2">
      <c r="A711" s="28"/>
      <c r="F711" s="34"/>
      <c r="H711" s="35"/>
    </row>
    <row r="712" spans="1:8" x14ac:dyDescent="0.2">
      <c r="A712" s="28"/>
      <c r="F712" s="34"/>
      <c r="H712" s="35"/>
    </row>
    <row r="713" spans="1:8" x14ac:dyDescent="0.2">
      <c r="A713" s="28"/>
      <c r="F713" s="34"/>
      <c r="H713" s="35"/>
    </row>
    <row r="714" spans="1:8" x14ac:dyDescent="0.2">
      <c r="A714" s="28"/>
      <c r="F714" s="34"/>
      <c r="H714" s="35"/>
    </row>
    <row r="715" spans="1:8" x14ac:dyDescent="0.2">
      <c r="A715" s="28"/>
      <c r="F715" s="34"/>
      <c r="H715" s="35"/>
    </row>
    <row r="716" spans="1:8" x14ac:dyDescent="0.2">
      <c r="A716" s="28"/>
      <c r="F716" s="34"/>
      <c r="H716" s="35"/>
    </row>
    <row r="717" spans="1:8" x14ac:dyDescent="0.2">
      <c r="A717" s="28"/>
      <c r="F717" s="34"/>
      <c r="H717" s="35"/>
    </row>
    <row r="718" spans="1:8" x14ac:dyDescent="0.2">
      <c r="A718" s="28"/>
      <c r="F718" s="34"/>
      <c r="H718" s="35"/>
    </row>
    <row r="719" spans="1:8" x14ac:dyDescent="0.2">
      <c r="A719" s="28"/>
      <c r="F719" s="34"/>
      <c r="H719" s="35"/>
    </row>
    <row r="720" spans="1:8" x14ac:dyDescent="0.2">
      <c r="A720" s="28"/>
      <c r="F720" s="34"/>
      <c r="H720" s="35"/>
    </row>
    <row r="721" spans="1:8" x14ac:dyDescent="0.2">
      <c r="A721" s="28"/>
      <c r="F721" s="34"/>
      <c r="H721" s="35"/>
    </row>
    <row r="722" spans="1:8" x14ac:dyDescent="0.2">
      <c r="A722" s="28"/>
      <c r="F722" s="34"/>
      <c r="H722" s="35"/>
    </row>
    <row r="723" spans="1:8" x14ac:dyDescent="0.2">
      <c r="A723" s="28"/>
      <c r="F723" s="34"/>
      <c r="H723" s="35"/>
    </row>
    <row r="724" spans="1:8" x14ac:dyDescent="0.2">
      <c r="A724" s="28"/>
      <c r="F724" s="34"/>
      <c r="H724" s="35"/>
    </row>
    <row r="725" spans="1:8" x14ac:dyDescent="0.2">
      <c r="A725" s="28"/>
      <c r="F725" s="34"/>
      <c r="H725" s="35"/>
    </row>
    <row r="726" spans="1:8" x14ac:dyDescent="0.2">
      <c r="A726" s="28"/>
      <c r="F726" s="34"/>
      <c r="H726" s="35"/>
    </row>
    <row r="727" spans="1:8" x14ac:dyDescent="0.2">
      <c r="A727" s="28"/>
      <c r="F727" s="34"/>
      <c r="H727" s="35"/>
    </row>
    <row r="728" spans="1:8" x14ac:dyDescent="0.2">
      <c r="A728" s="28"/>
      <c r="F728" s="34"/>
      <c r="H728" s="35"/>
    </row>
    <row r="729" spans="1:8" x14ac:dyDescent="0.2">
      <c r="A729" s="28"/>
      <c r="F729" s="34"/>
      <c r="H729" s="35"/>
    </row>
    <row r="730" spans="1:8" x14ac:dyDescent="0.2">
      <c r="A730" s="28"/>
      <c r="F730" s="34"/>
      <c r="H730" s="35"/>
    </row>
    <row r="731" spans="1:8" x14ac:dyDescent="0.2">
      <c r="A731" s="28"/>
      <c r="F731" s="34"/>
      <c r="H731" s="35"/>
    </row>
    <row r="732" spans="1:8" x14ac:dyDescent="0.2">
      <c r="A732" s="28"/>
      <c r="F732" s="34"/>
      <c r="H732" s="35"/>
    </row>
    <row r="733" spans="1:8" x14ac:dyDescent="0.2">
      <c r="A733" s="28"/>
      <c r="F733" s="34"/>
      <c r="H733" s="35"/>
    </row>
    <row r="734" spans="1:8" x14ac:dyDescent="0.2">
      <c r="A734" s="28"/>
      <c r="F734" s="34"/>
      <c r="H734" s="35"/>
    </row>
    <row r="735" spans="1:8" x14ac:dyDescent="0.2">
      <c r="A735" s="28"/>
      <c r="F735" s="34"/>
      <c r="H735" s="35"/>
    </row>
    <row r="736" spans="1:8" x14ac:dyDescent="0.2">
      <c r="A736" s="28"/>
      <c r="F736" s="34"/>
      <c r="H736" s="35"/>
    </row>
    <row r="737" spans="1:8" x14ac:dyDescent="0.2">
      <c r="A737" s="28"/>
      <c r="F737" s="34"/>
      <c r="H737" s="35"/>
    </row>
    <row r="738" spans="1:8" x14ac:dyDescent="0.2">
      <c r="A738" s="28"/>
      <c r="F738" s="34"/>
      <c r="H738" s="35"/>
    </row>
    <row r="739" spans="1:8" x14ac:dyDescent="0.2">
      <c r="A739" s="28"/>
      <c r="F739" s="34"/>
      <c r="H739" s="35"/>
    </row>
    <row r="740" spans="1:8" x14ac:dyDescent="0.2">
      <c r="A740" s="28"/>
      <c r="F740" s="34"/>
      <c r="H740" s="35"/>
    </row>
    <row r="741" spans="1:8" x14ac:dyDescent="0.2">
      <c r="A741" s="28"/>
      <c r="F741" s="34"/>
      <c r="H741" s="35"/>
    </row>
    <row r="742" spans="1:8" x14ac:dyDescent="0.2">
      <c r="A742" s="28"/>
      <c r="F742" s="34"/>
      <c r="H742" s="35"/>
    </row>
    <row r="743" spans="1:8" x14ac:dyDescent="0.2">
      <c r="A743" s="28"/>
      <c r="F743" s="34"/>
      <c r="H743" s="35"/>
    </row>
    <row r="744" spans="1:8" x14ac:dyDescent="0.2">
      <c r="A744" s="28"/>
      <c r="F744" s="34"/>
      <c r="H744" s="35"/>
    </row>
    <row r="745" spans="1:8" x14ac:dyDescent="0.2">
      <c r="A745" s="28"/>
      <c r="F745" s="34"/>
      <c r="H745" s="35"/>
    </row>
    <row r="746" spans="1:8" x14ac:dyDescent="0.2">
      <c r="A746" s="28"/>
      <c r="F746" s="34"/>
      <c r="H746" s="35"/>
    </row>
    <row r="747" spans="1:8" x14ac:dyDescent="0.2">
      <c r="A747" s="28"/>
      <c r="F747" s="33"/>
      <c r="H747" s="33"/>
    </row>
    <row r="748" spans="1:8" x14ac:dyDescent="0.2">
      <c r="A748" s="28"/>
    </row>
  </sheetData>
  <sortState xmlns:xlrd2="http://schemas.microsoft.com/office/spreadsheetml/2017/richdata2" ref="F1:H749">
    <sortCondition descending="1" ref="G1:G74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74095-43AB-9F4D-8C60-88F55280585B}">
  <dimension ref="A1:F1512"/>
  <sheetViews>
    <sheetView workbookViewId="0">
      <selection activeCell="H4" sqref="H4"/>
    </sheetView>
  </sheetViews>
  <sheetFormatPr baseColWidth="10" defaultRowHeight="16" x14ac:dyDescent="0.2"/>
  <cols>
    <col min="1" max="1" width="16.83203125"/>
    <col min="2" max="2" width="24.5" bestFit="1" customWidth="1"/>
    <col min="3" max="3" width="27.33203125" bestFit="1" customWidth="1"/>
    <col min="4" max="4" width="19" customWidth="1"/>
    <col min="5" max="5" width="24.5" customWidth="1"/>
    <col min="6" max="6" width="19.5" customWidth="1"/>
  </cols>
  <sheetData>
    <row r="1" spans="1:6" x14ac:dyDescent="0.2">
      <c r="A1" s="44" t="s">
        <v>0</v>
      </c>
      <c r="B1" s="45" t="s">
        <v>31</v>
      </c>
      <c r="C1" s="45" t="s">
        <v>34</v>
      </c>
      <c r="D1" s="45" t="s">
        <v>30</v>
      </c>
      <c r="E1" s="45" t="s">
        <v>35</v>
      </c>
      <c r="F1" s="47" t="s">
        <v>36</v>
      </c>
    </row>
    <row r="2" spans="1:6" x14ac:dyDescent="0.2">
      <c r="A2" s="37"/>
      <c r="B2" s="36"/>
      <c r="C2" s="36"/>
      <c r="D2" s="42"/>
      <c r="E2" s="36"/>
      <c r="F2" s="11"/>
    </row>
    <row r="3" spans="1:6" x14ac:dyDescent="0.2">
      <c r="A3" s="38">
        <v>44199</v>
      </c>
      <c r="B3" s="30">
        <v>8489.4</v>
      </c>
      <c r="C3" s="30"/>
      <c r="D3" s="29">
        <v>30.47</v>
      </c>
      <c r="E3" s="30"/>
      <c r="F3" s="11"/>
    </row>
    <row r="4" spans="1:6" x14ac:dyDescent="0.2">
      <c r="A4" s="38">
        <v>44200</v>
      </c>
      <c r="B4" s="30">
        <v>8287.6</v>
      </c>
      <c r="C4" s="43">
        <f>LN(B4/B3)</f>
        <v>-2.4057904643634036E-2</v>
      </c>
      <c r="D4" s="29">
        <v>26.83</v>
      </c>
      <c r="E4" s="43">
        <f>LN(D4/D3)</f>
        <v>-0.12722192856008491</v>
      </c>
      <c r="F4" s="77">
        <f>C4-E4</f>
        <v>0.10316402391645087</v>
      </c>
    </row>
    <row r="5" spans="1:6" x14ac:dyDescent="0.2">
      <c r="A5" s="38">
        <v>44202</v>
      </c>
      <c r="B5" s="30">
        <v>7845.9</v>
      </c>
      <c r="C5" s="43">
        <f t="shared" ref="C5:C68" si="0">LN(B5/B4)</f>
        <v>-5.4769319446000386E-2</v>
      </c>
      <c r="D5" s="29">
        <v>24.18</v>
      </c>
      <c r="E5" s="43">
        <f t="shared" ref="E5:E68" si="1">LN(D5/D4)</f>
        <v>-0.10399481925088606</v>
      </c>
      <c r="F5" s="77">
        <f t="shared" ref="F5:F68" si="2">C5-E5</f>
        <v>4.9225499804885678E-2</v>
      </c>
    </row>
    <row r="6" spans="1:6" x14ac:dyDescent="0.2">
      <c r="A6" s="38">
        <v>44203</v>
      </c>
      <c r="B6" s="30">
        <v>8017.1</v>
      </c>
      <c r="C6" s="43">
        <f t="shared" si="0"/>
        <v>2.1585658118656648E-2</v>
      </c>
      <c r="D6" s="29">
        <v>22.87</v>
      </c>
      <c r="E6" s="43">
        <f t="shared" si="1"/>
        <v>-5.5699837151956741E-2</v>
      </c>
      <c r="F6" s="77">
        <f t="shared" si="2"/>
        <v>7.7285495270613389E-2</v>
      </c>
    </row>
    <row r="7" spans="1:6" x14ac:dyDescent="0.2">
      <c r="A7" s="38">
        <v>44205</v>
      </c>
      <c r="B7" s="30">
        <v>7541.4</v>
      </c>
      <c r="C7" s="43">
        <f t="shared" si="0"/>
        <v>-6.1168919300137202E-2</v>
      </c>
      <c r="D7" s="29">
        <v>23.54</v>
      </c>
      <c r="E7" s="43">
        <f t="shared" si="1"/>
        <v>2.8875093797440809E-2</v>
      </c>
      <c r="F7" s="77">
        <f t="shared" si="2"/>
        <v>-9.0044013097578007E-2</v>
      </c>
    </row>
    <row r="8" spans="1:6" x14ac:dyDescent="0.2">
      <c r="A8" s="38">
        <v>44206</v>
      </c>
      <c r="B8" s="30">
        <v>8553.7000000000007</v>
      </c>
      <c r="C8" s="43">
        <f t="shared" si="0"/>
        <v>0.12595609670132737</v>
      </c>
      <c r="D8" s="29">
        <v>23.51</v>
      </c>
      <c r="E8" s="43">
        <f t="shared" si="1"/>
        <v>-1.2752392801524506E-3</v>
      </c>
      <c r="F8" s="77">
        <f t="shared" si="2"/>
        <v>0.12723133598147982</v>
      </c>
    </row>
    <row r="9" spans="1:6" x14ac:dyDescent="0.2">
      <c r="A9" s="38">
        <v>44207</v>
      </c>
      <c r="B9" s="30">
        <v>8529.6</v>
      </c>
      <c r="C9" s="43">
        <f t="shared" si="0"/>
        <v>-2.8214707916774757E-3</v>
      </c>
      <c r="D9" s="29">
        <v>21.77</v>
      </c>
      <c r="E9" s="43">
        <f t="shared" si="1"/>
        <v>-7.6892987305522104E-2</v>
      </c>
      <c r="F9" s="77">
        <f t="shared" si="2"/>
        <v>7.4071516513844624E-2</v>
      </c>
    </row>
    <row r="10" spans="1:6" x14ac:dyDescent="0.2">
      <c r="A10" s="38">
        <v>44208</v>
      </c>
      <c r="B10" s="30">
        <v>7709</v>
      </c>
      <c r="C10" s="43">
        <f t="shared" si="0"/>
        <v>-0.10115398960923438</v>
      </c>
      <c r="D10" s="29">
        <v>25.79</v>
      </c>
      <c r="E10" s="43">
        <f t="shared" si="1"/>
        <v>0.16945394464679731</v>
      </c>
      <c r="F10" s="77">
        <f t="shared" si="2"/>
        <v>-0.27060793425603169</v>
      </c>
    </row>
    <row r="11" spans="1:6" x14ac:dyDescent="0.2">
      <c r="A11" s="38">
        <v>44229</v>
      </c>
      <c r="B11" s="30">
        <v>8301.7000000000007</v>
      </c>
      <c r="C11" s="43">
        <f t="shared" si="0"/>
        <v>7.4071835629931262E-2</v>
      </c>
      <c r="D11" s="29">
        <v>22.76</v>
      </c>
      <c r="E11" s="43">
        <f t="shared" si="1"/>
        <v>-0.1249822106351232</v>
      </c>
      <c r="F11" s="77">
        <f t="shared" si="2"/>
        <v>0.19905404626505446</v>
      </c>
    </row>
    <row r="12" spans="1:6" x14ac:dyDescent="0.2">
      <c r="A12" s="38">
        <v>44230</v>
      </c>
      <c r="B12" s="30">
        <v>8332.2999999999993</v>
      </c>
      <c r="C12" s="43">
        <f t="shared" si="0"/>
        <v>3.6792154043990733E-3</v>
      </c>
      <c r="D12" s="29">
        <v>30.8</v>
      </c>
      <c r="E12" s="43">
        <f t="shared" si="1"/>
        <v>0.30251008072139862</v>
      </c>
      <c r="F12" s="77">
        <f t="shared" si="2"/>
        <v>-0.29883086531699954</v>
      </c>
    </row>
    <row r="13" spans="1:6" x14ac:dyDescent="0.2">
      <c r="A13" s="38">
        <v>44233</v>
      </c>
      <c r="B13" s="30">
        <v>8163.7</v>
      </c>
      <c r="C13" s="43">
        <f t="shared" si="0"/>
        <v>-2.0442030931830904E-2</v>
      </c>
      <c r="D13" s="29">
        <v>25.97</v>
      </c>
      <c r="E13" s="43">
        <f t="shared" si="1"/>
        <v>-0.17057266430487175</v>
      </c>
      <c r="F13" s="77">
        <f t="shared" si="2"/>
        <v>0.15013063337304083</v>
      </c>
    </row>
    <row r="14" spans="1:6" x14ac:dyDescent="0.2">
      <c r="A14" s="38">
        <v>44234</v>
      </c>
      <c r="B14" s="30">
        <v>8158.2</v>
      </c>
      <c r="C14" s="43">
        <f t="shared" si="0"/>
        <v>-6.7394117206615609E-4</v>
      </c>
      <c r="D14" s="29">
        <v>22.5</v>
      </c>
      <c r="E14" s="43">
        <f t="shared" si="1"/>
        <v>-0.14342671646428262</v>
      </c>
      <c r="F14" s="77">
        <f t="shared" si="2"/>
        <v>0.14275277529221647</v>
      </c>
    </row>
    <row r="15" spans="1:6" x14ac:dyDescent="0.2">
      <c r="A15" s="38">
        <v>44235</v>
      </c>
      <c r="B15" s="30">
        <v>7965</v>
      </c>
      <c r="C15" s="43">
        <f t="shared" si="0"/>
        <v>-2.3966613045546363E-2</v>
      </c>
      <c r="D15" s="29">
        <v>23.49</v>
      </c>
      <c r="E15" s="43">
        <f t="shared" si="1"/>
        <v>4.3059489460447013E-2</v>
      </c>
      <c r="F15" s="77">
        <f t="shared" si="2"/>
        <v>-6.7026102505993376E-2</v>
      </c>
    </row>
    <row r="16" spans="1:6" x14ac:dyDescent="0.2">
      <c r="A16" s="38">
        <v>44236</v>
      </c>
      <c r="B16" s="30">
        <v>7592.6</v>
      </c>
      <c r="C16" s="43">
        <f t="shared" si="0"/>
        <v>-4.7882854618652486E-2</v>
      </c>
      <c r="D16" s="29">
        <v>22.73</v>
      </c>
      <c r="E16" s="43">
        <f t="shared" si="1"/>
        <v>-3.2889160806369541E-2</v>
      </c>
      <c r="F16" s="77">
        <f t="shared" si="2"/>
        <v>-1.4993693812282945E-2</v>
      </c>
    </row>
    <row r="17" spans="1:6" x14ac:dyDescent="0.2">
      <c r="A17" s="38">
        <v>44238</v>
      </c>
      <c r="B17" s="30">
        <v>8440.5</v>
      </c>
      <c r="C17" s="43">
        <f t="shared" si="0"/>
        <v>0.10586745981594692</v>
      </c>
      <c r="D17" s="29">
        <v>23.79</v>
      </c>
      <c r="E17" s="43">
        <f t="shared" si="1"/>
        <v>4.557968645041445E-2</v>
      </c>
      <c r="F17" s="77">
        <f t="shared" si="2"/>
        <v>6.0287773365532468E-2</v>
      </c>
    </row>
    <row r="18" spans="1:6" x14ac:dyDescent="0.2">
      <c r="A18" s="38">
        <v>44239</v>
      </c>
      <c r="B18" s="30">
        <v>7664.3</v>
      </c>
      <c r="C18" s="43">
        <f t="shared" si="0"/>
        <v>-9.6468364606750831E-2</v>
      </c>
      <c r="D18" s="29">
        <v>25.3</v>
      </c>
      <c r="E18" s="43">
        <f t="shared" si="1"/>
        <v>6.1539071418608322E-2</v>
      </c>
      <c r="F18" s="77">
        <f t="shared" si="2"/>
        <v>-0.15800743602535916</v>
      </c>
    </row>
    <row r="19" spans="1:6" x14ac:dyDescent="0.2">
      <c r="A19" s="38">
        <v>44257</v>
      </c>
      <c r="B19" s="30">
        <v>8411</v>
      </c>
      <c r="C19" s="43">
        <f t="shared" si="0"/>
        <v>9.2967189027744701E-2</v>
      </c>
      <c r="D19" s="29">
        <v>22.66</v>
      </c>
      <c r="E19" s="43">
        <f t="shared" si="1"/>
        <v>-0.11020314013361436</v>
      </c>
      <c r="F19" s="77">
        <f t="shared" si="2"/>
        <v>0.20317032916135908</v>
      </c>
    </row>
    <row r="20" spans="1:6" x14ac:dyDescent="0.2">
      <c r="A20" s="38">
        <v>44258</v>
      </c>
      <c r="B20" s="30">
        <v>8347.6</v>
      </c>
      <c r="C20" s="43">
        <f t="shared" si="0"/>
        <v>-7.5663005817618286E-3</v>
      </c>
      <c r="D20" s="29">
        <v>31.35</v>
      </c>
      <c r="E20" s="43">
        <f t="shared" si="1"/>
        <v>0.32461301147906946</v>
      </c>
      <c r="F20" s="77">
        <f t="shared" si="2"/>
        <v>-0.33217931206083129</v>
      </c>
    </row>
    <row r="21" spans="1:6" x14ac:dyDescent="0.2">
      <c r="A21" s="38">
        <v>44260</v>
      </c>
      <c r="B21" s="30">
        <v>7798.8</v>
      </c>
      <c r="C21" s="43">
        <f t="shared" si="0"/>
        <v>-6.8004196692372038E-2</v>
      </c>
      <c r="D21" s="29">
        <v>24.27</v>
      </c>
      <c r="E21" s="43">
        <f t="shared" si="1"/>
        <v>-0.25597324734041976</v>
      </c>
      <c r="F21" s="77">
        <f t="shared" si="2"/>
        <v>0.18796905064804773</v>
      </c>
    </row>
    <row r="22" spans="1:6" x14ac:dyDescent="0.2">
      <c r="A22" s="38">
        <v>44261</v>
      </c>
      <c r="B22" s="30">
        <v>8430.9</v>
      </c>
      <c r="C22" s="43">
        <f t="shared" si="0"/>
        <v>7.7933652174823564E-2</v>
      </c>
      <c r="D22" s="29">
        <v>22.91</v>
      </c>
      <c r="E22" s="43">
        <f t="shared" si="1"/>
        <v>-5.7667523273105856E-2</v>
      </c>
      <c r="F22" s="77">
        <f t="shared" si="2"/>
        <v>0.13560117544792943</v>
      </c>
    </row>
    <row r="23" spans="1:6" x14ac:dyDescent="0.2">
      <c r="A23" s="38">
        <v>44263</v>
      </c>
      <c r="B23" s="30">
        <v>7854</v>
      </c>
      <c r="C23" s="43">
        <f t="shared" si="0"/>
        <v>-7.0880571725172134E-2</v>
      </c>
      <c r="D23" s="29">
        <v>22.09</v>
      </c>
      <c r="E23" s="43">
        <f t="shared" si="1"/>
        <v>-3.6448479033378327E-2</v>
      </c>
      <c r="F23" s="77">
        <f t="shared" si="2"/>
        <v>-3.4432092691793807E-2</v>
      </c>
    </row>
    <row r="24" spans="1:6" x14ac:dyDescent="0.2">
      <c r="A24" s="38">
        <v>44264</v>
      </c>
      <c r="B24" s="30">
        <v>7650.1</v>
      </c>
      <c r="C24" s="43">
        <f t="shared" si="0"/>
        <v>-2.6304236507385042E-2</v>
      </c>
      <c r="D24" s="29">
        <v>23.17</v>
      </c>
      <c r="E24" s="43">
        <f t="shared" si="1"/>
        <v>4.7733321012259043E-2</v>
      </c>
      <c r="F24" s="77">
        <f t="shared" si="2"/>
        <v>-7.4037557519644082E-2</v>
      </c>
    </row>
    <row r="25" spans="1:6" x14ac:dyDescent="0.2">
      <c r="A25" s="38">
        <v>44266</v>
      </c>
      <c r="B25" s="30">
        <v>8493.7000000000007</v>
      </c>
      <c r="C25" s="43">
        <f t="shared" si="0"/>
        <v>0.10460599257017411</v>
      </c>
      <c r="D25" s="29">
        <v>23.6</v>
      </c>
      <c r="E25" s="43">
        <f t="shared" si="1"/>
        <v>1.8388373587279568E-2</v>
      </c>
      <c r="F25" s="77">
        <f t="shared" si="2"/>
        <v>8.6217618982894539E-2</v>
      </c>
    </row>
    <row r="26" spans="1:6" x14ac:dyDescent="0.2">
      <c r="A26" s="38">
        <v>44267</v>
      </c>
      <c r="B26" s="30">
        <v>7787.2</v>
      </c>
      <c r="C26" s="43">
        <f t="shared" si="0"/>
        <v>-8.6843352121554099E-2</v>
      </c>
      <c r="D26" s="29">
        <v>24.72</v>
      </c>
      <c r="E26" s="43">
        <f t="shared" si="1"/>
        <v>4.6365920557925558E-2</v>
      </c>
      <c r="F26" s="77">
        <f t="shared" si="2"/>
        <v>-0.13320927267947966</v>
      </c>
    </row>
    <row r="27" spans="1:6" x14ac:dyDescent="0.2">
      <c r="A27" s="38">
        <v>44287</v>
      </c>
      <c r="B27" s="30">
        <v>8167.1</v>
      </c>
      <c r="C27" s="43">
        <f t="shared" si="0"/>
        <v>4.7632528602311652E-2</v>
      </c>
      <c r="D27" s="29">
        <v>21.95</v>
      </c>
      <c r="E27" s="43">
        <f t="shared" si="1"/>
        <v>-0.11884549306830972</v>
      </c>
      <c r="F27" s="77">
        <f t="shared" si="2"/>
        <v>0.16647802167062137</v>
      </c>
    </row>
    <row r="28" spans="1:6" x14ac:dyDescent="0.2">
      <c r="A28" s="38">
        <v>44288</v>
      </c>
      <c r="B28" s="30">
        <v>8308.2000000000007</v>
      </c>
      <c r="C28" s="43">
        <f t="shared" si="0"/>
        <v>1.7129090207221767E-2</v>
      </c>
      <c r="D28" s="29">
        <v>28.68</v>
      </c>
      <c r="E28" s="43">
        <f t="shared" si="1"/>
        <v>0.26743287621023937</v>
      </c>
      <c r="F28" s="77">
        <f t="shared" si="2"/>
        <v>-0.25030378600301761</v>
      </c>
    </row>
    <row r="29" spans="1:6" x14ac:dyDescent="0.2">
      <c r="A29" s="38">
        <v>44289</v>
      </c>
      <c r="B29" s="30">
        <v>8339.5</v>
      </c>
      <c r="C29" s="43">
        <f t="shared" si="0"/>
        <v>3.760283628504489E-3</v>
      </c>
      <c r="D29" s="29">
        <v>30.95</v>
      </c>
      <c r="E29" s="43">
        <f t="shared" si="1"/>
        <v>7.6172983399185476E-2</v>
      </c>
      <c r="F29" s="77">
        <f t="shared" si="2"/>
        <v>-7.2412699770680988E-2</v>
      </c>
    </row>
    <row r="30" spans="1:6" x14ac:dyDescent="0.2">
      <c r="A30" s="38">
        <v>44291</v>
      </c>
      <c r="B30" s="30">
        <v>7932.3</v>
      </c>
      <c r="C30" s="43">
        <f t="shared" si="0"/>
        <v>-5.0060231110153355E-2</v>
      </c>
      <c r="D30" s="29">
        <v>23.3</v>
      </c>
      <c r="E30" s="43">
        <f t="shared" si="1"/>
        <v>-0.28391963855895025</v>
      </c>
      <c r="F30" s="77">
        <f t="shared" si="2"/>
        <v>0.23385940744879691</v>
      </c>
    </row>
    <row r="31" spans="1:6" x14ac:dyDescent="0.2">
      <c r="A31" s="38">
        <v>44292</v>
      </c>
      <c r="B31" s="30">
        <v>8535.7999999999993</v>
      </c>
      <c r="C31" s="43">
        <f t="shared" si="0"/>
        <v>7.3326052121954408E-2</v>
      </c>
      <c r="D31" s="29">
        <v>21.97</v>
      </c>
      <c r="E31" s="43">
        <f t="shared" si="1"/>
        <v>-5.8775474175136157E-2</v>
      </c>
      <c r="F31" s="77">
        <f t="shared" si="2"/>
        <v>0.13210152629709057</v>
      </c>
    </row>
    <row r="32" spans="1:6" x14ac:dyDescent="0.2">
      <c r="A32" s="38">
        <v>44294</v>
      </c>
      <c r="B32" s="30">
        <v>7924</v>
      </c>
      <c r="C32" s="43">
        <f t="shared" si="0"/>
        <v>-7.4372954710587344E-2</v>
      </c>
      <c r="D32" s="29">
        <v>22.3</v>
      </c>
      <c r="E32" s="43">
        <f t="shared" si="1"/>
        <v>1.4908792069554226E-2</v>
      </c>
      <c r="F32" s="77">
        <f t="shared" si="2"/>
        <v>-8.9281746780141572E-2</v>
      </c>
    </row>
    <row r="33" spans="1:6" x14ac:dyDescent="0.2">
      <c r="A33" s="38">
        <v>44296</v>
      </c>
      <c r="B33" s="30">
        <v>8669.9</v>
      </c>
      <c r="C33" s="43">
        <f t="shared" si="0"/>
        <v>8.9961127864253712E-2</v>
      </c>
      <c r="D33" s="29">
        <v>23.12</v>
      </c>
      <c r="E33" s="43">
        <f t="shared" si="1"/>
        <v>3.6111365338103621E-2</v>
      </c>
      <c r="F33" s="77">
        <f t="shared" si="2"/>
        <v>5.3849762526150091E-2</v>
      </c>
    </row>
    <row r="34" spans="1:6" x14ac:dyDescent="0.2">
      <c r="A34" s="38">
        <v>44297</v>
      </c>
      <c r="B34" s="30">
        <v>8324.1</v>
      </c>
      <c r="C34" s="43">
        <f t="shared" si="0"/>
        <v>-4.0702334786261424E-2</v>
      </c>
      <c r="D34" s="29">
        <v>21.2</v>
      </c>
      <c r="E34" s="43">
        <f t="shared" si="1"/>
        <v>-8.6696862126210014E-2</v>
      </c>
      <c r="F34" s="77">
        <f t="shared" si="2"/>
        <v>4.599452733994859E-2</v>
      </c>
    </row>
    <row r="35" spans="1:6" x14ac:dyDescent="0.2">
      <c r="A35" s="38">
        <v>44317</v>
      </c>
      <c r="B35" s="30">
        <v>8079</v>
      </c>
      <c r="C35" s="43">
        <f t="shared" si="0"/>
        <v>-2.9886819416725167E-2</v>
      </c>
      <c r="D35" s="29">
        <v>24.59</v>
      </c>
      <c r="E35" s="43">
        <f t="shared" si="1"/>
        <v>0.14833867455013447</v>
      </c>
      <c r="F35" s="77">
        <f t="shared" si="2"/>
        <v>-0.17822549396685963</v>
      </c>
    </row>
    <row r="36" spans="1:6" x14ac:dyDescent="0.2">
      <c r="A36" s="38">
        <v>44318</v>
      </c>
      <c r="B36" s="30">
        <v>8394.1</v>
      </c>
      <c r="C36" s="43">
        <f t="shared" si="0"/>
        <v>3.8260975614249439E-2</v>
      </c>
      <c r="D36" s="29">
        <v>29.29</v>
      </c>
      <c r="E36" s="43">
        <f t="shared" si="1"/>
        <v>0.17490630461154083</v>
      </c>
      <c r="F36" s="77">
        <f t="shared" si="2"/>
        <v>-0.1366453289972914</v>
      </c>
    </row>
    <row r="37" spans="1:6" x14ac:dyDescent="0.2">
      <c r="A37" s="38">
        <v>44319</v>
      </c>
      <c r="B37" s="30">
        <v>8575</v>
      </c>
      <c r="C37" s="43">
        <f t="shared" si="0"/>
        <v>2.1321914940182665E-2</v>
      </c>
      <c r="D37" s="29">
        <v>31.18</v>
      </c>
      <c r="E37" s="43">
        <f t="shared" si="1"/>
        <v>6.2530702789988374E-2</v>
      </c>
      <c r="F37" s="77">
        <f t="shared" si="2"/>
        <v>-4.1208787849805709E-2</v>
      </c>
    </row>
    <row r="38" spans="1:6" x14ac:dyDescent="0.2">
      <c r="A38" s="38">
        <v>44321</v>
      </c>
      <c r="B38" s="30">
        <v>7948.6</v>
      </c>
      <c r="C38" s="43">
        <f t="shared" si="0"/>
        <v>-7.5855180522230267E-2</v>
      </c>
      <c r="D38" s="29">
        <v>22.97</v>
      </c>
      <c r="E38" s="43">
        <f t="shared" si="1"/>
        <v>-0.30558784692862356</v>
      </c>
      <c r="F38" s="77">
        <f t="shared" si="2"/>
        <v>0.22973266640639328</v>
      </c>
    </row>
    <row r="39" spans="1:6" x14ac:dyDescent="0.2">
      <c r="A39" s="38">
        <v>44323</v>
      </c>
      <c r="B39" s="30">
        <v>8323.6</v>
      </c>
      <c r="C39" s="43">
        <f t="shared" si="0"/>
        <v>4.6099041026714062E-2</v>
      </c>
      <c r="D39" s="29">
        <v>23.81</v>
      </c>
      <c r="E39" s="43">
        <f t="shared" si="1"/>
        <v>3.5916643797764485E-2</v>
      </c>
      <c r="F39" s="77">
        <f t="shared" si="2"/>
        <v>1.0182397228949577E-2</v>
      </c>
    </row>
    <row r="40" spans="1:6" x14ac:dyDescent="0.2">
      <c r="A40" s="38">
        <v>44324</v>
      </c>
      <c r="B40" s="30">
        <v>7827</v>
      </c>
      <c r="C40" s="43">
        <f t="shared" si="0"/>
        <v>-6.1515558733786398E-2</v>
      </c>
      <c r="D40" s="29">
        <v>21.94</v>
      </c>
      <c r="E40" s="43">
        <f t="shared" si="1"/>
        <v>-8.1794205651687144E-2</v>
      </c>
      <c r="F40" s="77">
        <f t="shared" si="2"/>
        <v>2.0278646917900746E-2</v>
      </c>
    </row>
    <row r="41" spans="1:6" x14ac:dyDescent="0.2">
      <c r="A41" s="38">
        <v>44326</v>
      </c>
      <c r="B41" s="30">
        <v>8881.4</v>
      </c>
      <c r="C41" s="43">
        <f t="shared" si="0"/>
        <v>0.12637990741237284</v>
      </c>
      <c r="D41" s="29">
        <v>22.94</v>
      </c>
      <c r="E41" s="43">
        <f t="shared" si="1"/>
        <v>4.4570656854140536E-2</v>
      </c>
      <c r="F41" s="77">
        <f t="shared" si="2"/>
        <v>8.1809250558232308E-2</v>
      </c>
    </row>
    <row r="42" spans="1:6" x14ac:dyDescent="0.2">
      <c r="A42" s="38">
        <v>44327</v>
      </c>
      <c r="B42" s="30">
        <v>8271.9</v>
      </c>
      <c r="C42" s="43">
        <f t="shared" si="0"/>
        <v>-7.1094973516927784E-2</v>
      </c>
      <c r="D42" s="29">
        <v>21.24</v>
      </c>
      <c r="E42" s="43">
        <f t="shared" si="1"/>
        <v>-7.699591532748673E-2</v>
      </c>
      <c r="F42" s="77">
        <f t="shared" si="2"/>
        <v>5.9009418105589462E-3</v>
      </c>
    </row>
    <row r="43" spans="1:6" x14ac:dyDescent="0.2">
      <c r="A43" s="38">
        <v>44348</v>
      </c>
      <c r="B43" s="30">
        <v>8208.9</v>
      </c>
      <c r="C43" s="43">
        <f t="shared" si="0"/>
        <v>-7.6452971779510676E-3</v>
      </c>
      <c r="D43" s="29">
        <v>24.28</v>
      </c>
      <c r="E43" s="43">
        <f t="shared" si="1"/>
        <v>0.13376676981755958</v>
      </c>
      <c r="F43" s="77">
        <f t="shared" si="2"/>
        <v>-0.14141206699551065</v>
      </c>
    </row>
    <row r="44" spans="1:6" x14ac:dyDescent="0.2">
      <c r="A44" s="38">
        <v>44351</v>
      </c>
      <c r="B44" s="30">
        <v>8282.4</v>
      </c>
      <c r="C44" s="43">
        <f t="shared" si="0"/>
        <v>8.9138499295713051E-3</v>
      </c>
      <c r="D44" s="29">
        <v>31.4</v>
      </c>
      <c r="E44" s="43">
        <f t="shared" si="1"/>
        <v>0.25715492672291007</v>
      </c>
      <c r="F44" s="77">
        <f t="shared" si="2"/>
        <v>-0.24824107679333876</v>
      </c>
    </row>
    <row r="45" spans="1:6" x14ac:dyDescent="0.2">
      <c r="A45" s="38">
        <v>44352</v>
      </c>
      <c r="B45" s="30">
        <v>7964.2</v>
      </c>
      <c r="C45" s="43">
        <f t="shared" si="0"/>
        <v>-3.917628257460426E-2</v>
      </c>
      <c r="D45" s="29">
        <v>23.81</v>
      </c>
      <c r="E45" s="43">
        <f t="shared" si="1"/>
        <v>-0.27670223241543629</v>
      </c>
      <c r="F45" s="77">
        <f t="shared" si="2"/>
        <v>0.23752594984083203</v>
      </c>
    </row>
    <row r="46" spans="1:6" x14ac:dyDescent="0.2">
      <c r="A46" s="38">
        <v>44354</v>
      </c>
      <c r="B46" s="30">
        <v>8451.4</v>
      </c>
      <c r="C46" s="43">
        <f t="shared" si="0"/>
        <v>5.9375609223799343E-2</v>
      </c>
      <c r="D46" s="29">
        <v>21.65</v>
      </c>
      <c r="E46" s="43">
        <f t="shared" si="1"/>
        <v>-9.5100206050272598E-2</v>
      </c>
      <c r="F46" s="77">
        <f t="shared" si="2"/>
        <v>0.15447581527407195</v>
      </c>
    </row>
    <row r="47" spans="1:6" x14ac:dyDescent="0.2">
      <c r="A47" s="38">
        <v>44355</v>
      </c>
      <c r="B47" s="30">
        <v>7906.1</v>
      </c>
      <c r="C47" s="43">
        <f t="shared" si="0"/>
        <v>-6.669749470316047E-2</v>
      </c>
      <c r="D47" s="29">
        <v>23.65</v>
      </c>
      <c r="E47" s="43">
        <f t="shared" si="1"/>
        <v>8.8357660489443143E-2</v>
      </c>
      <c r="F47" s="77">
        <f t="shared" si="2"/>
        <v>-0.1550551551926036</v>
      </c>
    </row>
    <row r="48" spans="1:6" x14ac:dyDescent="0.2">
      <c r="A48" s="38">
        <v>44356</v>
      </c>
      <c r="B48" s="30">
        <v>7521.5</v>
      </c>
      <c r="C48" s="43">
        <f t="shared" si="0"/>
        <v>-4.9869027260059602E-2</v>
      </c>
      <c r="D48" s="29">
        <v>22.92</v>
      </c>
      <c r="E48" s="43">
        <f t="shared" si="1"/>
        <v>-3.1353223091402968E-2</v>
      </c>
      <c r="F48" s="77">
        <f t="shared" si="2"/>
        <v>-1.8515804168656634E-2</v>
      </c>
    </row>
    <row r="49" spans="1:6" x14ac:dyDescent="0.2">
      <c r="A49" s="38">
        <v>44357</v>
      </c>
      <c r="B49" s="30">
        <v>8932.5</v>
      </c>
      <c r="C49" s="43">
        <f t="shared" si="0"/>
        <v>0.17193072475968635</v>
      </c>
      <c r="D49" s="29">
        <v>21.29</v>
      </c>
      <c r="E49" s="43">
        <f t="shared" si="1"/>
        <v>-7.3772412941150875E-2</v>
      </c>
      <c r="F49" s="77">
        <f t="shared" si="2"/>
        <v>0.24570313770083724</v>
      </c>
    </row>
    <row r="50" spans="1:6" x14ac:dyDescent="0.2">
      <c r="A50" s="38">
        <v>44359</v>
      </c>
      <c r="B50" s="30">
        <v>7836.4</v>
      </c>
      <c r="C50" s="43">
        <f t="shared" si="0"/>
        <v>-0.13091676568368779</v>
      </c>
      <c r="D50" s="29">
        <v>22.21</v>
      </c>
      <c r="E50" s="43">
        <f t="shared" si="1"/>
        <v>4.2305159000948105E-2</v>
      </c>
      <c r="F50" s="77">
        <f t="shared" si="2"/>
        <v>-0.1732219246846359</v>
      </c>
    </row>
    <row r="51" spans="1:6" x14ac:dyDescent="0.2">
      <c r="A51" s="38">
        <v>44378</v>
      </c>
      <c r="B51" s="30">
        <v>8579.2999999999993</v>
      </c>
      <c r="C51" s="43">
        <f t="shared" si="0"/>
        <v>9.0572779858301838E-2</v>
      </c>
      <c r="D51" s="29">
        <v>33.409999999999997</v>
      </c>
      <c r="E51" s="43">
        <f t="shared" si="1"/>
        <v>0.40831261846232886</v>
      </c>
      <c r="F51" s="77">
        <f t="shared" si="2"/>
        <v>-0.31773983860402699</v>
      </c>
    </row>
    <row r="52" spans="1:6" x14ac:dyDescent="0.2">
      <c r="A52" s="38">
        <v>44381</v>
      </c>
      <c r="B52" s="30">
        <v>8401.4</v>
      </c>
      <c r="C52" s="43">
        <f t="shared" si="0"/>
        <v>-2.0953966461453231E-2</v>
      </c>
      <c r="D52" s="29">
        <v>23.14</v>
      </c>
      <c r="E52" s="43">
        <f t="shared" si="1"/>
        <v>-0.36729253460313449</v>
      </c>
      <c r="F52" s="77">
        <f t="shared" si="2"/>
        <v>0.34633856814168124</v>
      </c>
    </row>
    <row r="53" spans="1:6" x14ac:dyDescent="0.2">
      <c r="A53" s="38">
        <v>44382</v>
      </c>
      <c r="B53" s="30">
        <v>8024.7</v>
      </c>
      <c r="C53" s="43">
        <f t="shared" si="0"/>
        <v>-4.5874073488847603E-2</v>
      </c>
      <c r="D53" s="29">
        <v>22.04</v>
      </c>
      <c r="E53" s="43">
        <f t="shared" si="1"/>
        <v>-4.8703737480816807E-2</v>
      </c>
      <c r="F53" s="77">
        <f t="shared" si="2"/>
        <v>2.8296639919692043E-3</v>
      </c>
    </row>
    <row r="54" spans="1:6" x14ac:dyDescent="0.2">
      <c r="A54" s="38">
        <v>44383</v>
      </c>
      <c r="B54" s="30">
        <v>8535.7999999999993</v>
      </c>
      <c r="C54" s="43">
        <f t="shared" si="0"/>
        <v>6.1744798407150851E-2</v>
      </c>
      <c r="D54" s="29">
        <v>22.42</v>
      </c>
      <c r="E54" s="43">
        <f t="shared" si="1"/>
        <v>1.7094433359300255E-2</v>
      </c>
      <c r="F54" s="77">
        <f t="shared" si="2"/>
        <v>4.4650365047850596E-2</v>
      </c>
    </row>
    <row r="55" spans="1:6" x14ac:dyDescent="0.2">
      <c r="A55" s="38">
        <v>44384</v>
      </c>
      <c r="B55" s="30">
        <v>8290</v>
      </c>
      <c r="C55" s="43">
        <f t="shared" si="0"/>
        <v>-2.9219114399688263E-2</v>
      </c>
      <c r="D55" s="29">
        <v>23.57</v>
      </c>
      <c r="E55" s="43">
        <f t="shared" si="1"/>
        <v>5.0021299304025733E-2</v>
      </c>
      <c r="F55" s="77">
        <f t="shared" si="2"/>
        <v>-7.9240413703713999E-2</v>
      </c>
    </row>
    <row r="56" spans="1:6" x14ac:dyDescent="0.2">
      <c r="A56" s="38">
        <v>44386</v>
      </c>
      <c r="B56" s="30">
        <v>7579.8</v>
      </c>
      <c r="C56" s="43">
        <f t="shared" si="0"/>
        <v>-8.9563155065293859E-2</v>
      </c>
      <c r="D56" s="29">
        <v>23.41</v>
      </c>
      <c r="E56" s="43">
        <f t="shared" si="1"/>
        <v>-6.8114354452204016E-3</v>
      </c>
      <c r="F56" s="77">
        <f t="shared" si="2"/>
        <v>-8.2751719620073452E-2</v>
      </c>
    </row>
    <row r="57" spans="1:6" x14ac:dyDescent="0.2">
      <c r="A57" s="38">
        <v>44387</v>
      </c>
      <c r="B57" s="30">
        <v>8863.1</v>
      </c>
      <c r="C57" s="43">
        <f t="shared" si="0"/>
        <v>0.15640977647203386</v>
      </c>
      <c r="D57" s="29">
        <v>21.51</v>
      </c>
      <c r="E57" s="43">
        <f t="shared" si="1"/>
        <v>-8.4645338223180711E-2</v>
      </c>
      <c r="F57" s="77">
        <f t="shared" si="2"/>
        <v>0.24105511469521457</v>
      </c>
    </row>
    <row r="58" spans="1:6" x14ac:dyDescent="0.2">
      <c r="A58" s="38">
        <v>44389</v>
      </c>
      <c r="B58" s="30">
        <v>7998.4</v>
      </c>
      <c r="C58" s="43">
        <f t="shared" si="0"/>
        <v>-0.10265506887677472</v>
      </c>
      <c r="D58" s="29">
        <v>22.93</v>
      </c>
      <c r="E58" s="43">
        <f t="shared" si="1"/>
        <v>6.3928153590174314E-2</v>
      </c>
      <c r="F58" s="77">
        <f t="shared" si="2"/>
        <v>-0.16658322246694904</v>
      </c>
    </row>
    <row r="59" spans="1:6" x14ac:dyDescent="0.2">
      <c r="A59" s="38">
        <v>44409</v>
      </c>
      <c r="B59" s="30">
        <v>8690.1</v>
      </c>
      <c r="C59" s="43">
        <f t="shared" si="0"/>
        <v>8.2942925013783197E-2</v>
      </c>
      <c r="D59" s="29">
        <v>33.159999999999997</v>
      </c>
      <c r="E59" s="43">
        <f t="shared" si="1"/>
        <v>0.36889823339728112</v>
      </c>
      <c r="F59" s="77">
        <f t="shared" si="2"/>
        <v>-0.28595530838349792</v>
      </c>
    </row>
    <row r="60" spans="1:6" x14ac:dyDescent="0.2">
      <c r="A60" s="38">
        <v>44410</v>
      </c>
      <c r="B60" s="30">
        <v>8438.7999999999993</v>
      </c>
      <c r="C60" s="43">
        <f t="shared" si="0"/>
        <v>-2.9344328286421043E-2</v>
      </c>
      <c r="D60" s="29">
        <v>31.49</v>
      </c>
      <c r="E60" s="43">
        <f t="shared" si="1"/>
        <v>-5.1674295154160915E-2</v>
      </c>
      <c r="F60" s="77">
        <f t="shared" si="2"/>
        <v>2.2329966867739873E-2</v>
      </c>
    </row>
    <row r="61" spans="1:6" x14ac:dyDescent="0.2">
      <c r="A61" s="38">
        <v>44411</v>
      </c>
      <c r="B61" s="30">
        <v>8632</v>
      </c>
      <c r="C61" s="43">
        <f t="shared" si="0"/>
        <v>2.2636109551302377E-2</v>
      </c>
      <c r="D61" s="29">
        <v>22.27</v>
      </c>
      <c r="E61" s="43">
        <f t="shared" si="1"/>
        <v>-0.34642955384365698</v>
      </c>
      <c r="F61" s="77">
        <f t="shared" si="2"/>
        <v>0.36906566339495933</v>
      </c>
    </row>
    <row r="62" spans="1:6" x14ac:dyDescent="0.2">
      <c r="A62" s="38">
        <v>44412</v>
      </c>
      <c r="B62" s="30">
        <v>8431.5</v>
      </c>
      <c r="C62" s="43">
        <f t="shared" si="0"/>
        <v>-2.350153582773119E-2</v>
      </c>
      <c r="D62" s="29">
        <v>23.44</v>
      </c>
      <c r="E62" s="43">
        <f t="shared" si="1"/>
        <v>5.1203483439535721E-2</v>
      </c>
      <c r="F62" s="77">
        <f t="shared" si="2"/>
        <v>-7.4705019267266914E-2</v>
      </c>
    </row>
    <row r="63" spans="1:6" x14ac:dyDescent="0.2">
      <c r="A63" s="38">
        <v>44414</v>
      </c>
      <c r="B63" s="30">
        <v>8557.6</v>
      </c>
      <c r="C63" s="43">
        <f t="shared" si="0"/>
        <v>1.4845084881681675E-2</v>
      </c>
      <c r="D63" s="29">
        <v>22.51</v>
      </c>
      <c r="E63" s="43">
        <f t="shared" si="1"/>
        <v>-4.0484309790170939E-2</v>
      </c>
      <c r="F63" s="77">
        <f t="shared" si="2"/>
        <v>5.5329394671852612E-2</v>
      </c>
    </row>
    <row r="64" spans="1:6" x14ac:dyDescent="0.2">
      <c r="A64" s="38">
        <v>44415</v>
      </c>
      <c r="B64" s="30">
        <v>8259.7999999999993</v>
      </c>
      <c r="C64" s="43">
        <f t="shared" si="0"/>
        <v>-3.5419402845099215E-2</v>
      </c>
      <c r="D64" s="29">
        <v>23.16</v>
      </c>
      <c r="E64" s="43">
        <f t="shared" si="1"/>
        <v>2.8466997786153508E-2</v>
      </c>
      <c r="F64" s="77">
        <f t="shared" si="2"/>
        <v>-6.3886400631252727E-2</v>
      </c>
    </row>
    <row r="65" spans="1:6" x14ac:dyDescent="0.2">
      <c r="A65" s="38">
        <v>44417</v>
      </c>
      <c r="B65" s="30">
        <v>7592.3</v>
      </c>
      <c r="C65" s="43">
        <f t="shared" si="0"/>
        <v>-8.4265798358524852E-2</v>
      </c>
      <c r="D65" s="29">
        <v>22.96</v>
      </c>
      <c r="E65" s="43">
        <f t="shared" si="1"/>
        <v>-8.6730812534287806E-3</v>
      </c>
      <c r="F65" s="77">
        <f t="shared" si="2"/>
        <v>-7.5592717105096074E-2</v>
      </c>
    </row>
    <row r="66" spans="1:6" x14ac:dyDescent="0.2">
      <c r="A66" s="38">
        <v>44418</v>
      </c>
      <c r="B66" s="30">
        <v>8949.4</v>
      </c>
      <c r="C66" s="43">
        <f t="shared" si="0"/>
        <v>0.16445191512723745</v>
      </c>
      <c r="D66" s="29">
        <v>21.34</v>
      </c>
      <c r="E66" s="43">
        <f t="shared" si="1"/>
        <v>-7.3170325577758391E-2</v>
      </c>
      <c r="F66" s="77">
        <f t="shared" si="2"/>
        <v>0.23762224070499582</v>
      </c>
    </row>
    <row r="67" spans="1:6" x14ac:dyDescent="0.2">
      <c r="A67" s="38">
        <v>44419</v>
      </c>
      <c r="B67" s="30">
        <v>8433.4</v>
      </c>
      <c r="C67" s="43">
        <f t="shared" si="0"/>
        <v>-5.9386478760938097E-2</v>
      </c>
      <c r="D67" s="29">
        <v>24.72</v>
      </c>
      <c r="E67" s="43">
        <f t="shared" si="1"/>
        <v>0.14702938671588278</v>
      </c>
      <c r="F67" s="77">
        <f t="shared" si="2"/>
        <v>-0.20641586547682089</v>
      </c>
    </row>
    <row r="68" spans="1:6" x14ac:dyDescent="0.2">
      <c r="A68" s="38">
        <v>44420</v>
      </c>
      <c r="B68" s="30">
        <v>8115.4</v>
      </c>
      <c r="C68" s="43">
        <f t="shared" si="0"/>
        <v>-3.8436520985074656E-2</v>
      </c>
      <c r="D68" s="29">
        <v>23</v>
      </c>
      <c r="E68" s="43">
        <f t="shared" si="1"/>
        <v>-7.2118416660340343E-2</v>
      </c>
      <c r="F68" s="77">
        <f t="shared" si="2"/>
        <v>3.3681895675265687E-2</v>
      </c>
    </row>
    <row r="69" spans="1:6" x14ac:dyDescent="0.2">
      <c r="A69" s="38">
        <v>44441</v>
      </c>
      <c r="B69" s="30">
        <v>8392.1</v>
      </c>
      <c r="C69" s="43">
        <f t="shared" ref="C69:C132" si="3">LN(B69/B68)</f>
        <v>3.3527295946196585E-2</v>
      </c>
      <c r="D69" s="29">
        <v>31.21</v>
      </c>
      <c r="E69" s="43">
        <f t="shared" ref="E69:E132" si="4">LN(D69/D68)</f>
        <v>0.30524434035353837</v>
      </c>
      <c r="F69" s="77">
        <f t="shared" ref="F69:F132" si="5">C69-E69</f>
        <v>-0.27171704440734179</v>
      </c>
    </row>
    <row r="70" spans="1:6" x14ac:dyDescent="0.2">
      <c r="A70" s="38">
        <v>44442</v>
      </c>
      <c r="B70" s="30">
        <v>8591.4</v>
      </c>
      <c r="C70" s="43">
        <f t="shared" si="3"/>
        <v>2.3470915792297136E-2</v>
      </c>
      <c r="D70" s="29">
        <v>24.13</v>
      </c>
      <c r="E70" s="43">
        <f t="shared" si="4"/>
        <v>-0.25728267664574778</v>
      </c>
      <c r="F70" s="77">
        <f t="shared" si="5"/>
        <v>0.28075359243804493</v>
      </c>
    </row>
    <row r="71" spans="1:6" x14ac:dyDescent="0.2">
      <c r="A71" s="38">
        <v>44443</v>
      </c>
      <c r="B71" s="30">
        <v>8371.5</v>
      </c>
      <c r="C71" s="43">
        <f t="shared" si="3"/>
        <v>-2.5928623011417608E-2</v>
      </c>
      <c r="D71" s="29">
        <v>23.47</v>
      </c>
      <c r="E71" s="43">
        <f t="shared" si="4"/>
        <v>-2.7732869774008229E-2</v>
      </c>
      <c r="F71" s="77">
        <f t="shared" si="5"/>
        <v>1.8042467625906215E-3</v>
      </c>
    </row>
    <row r="72" spans="1:6" x14ac:dyDescent="0.2">
      <c r="A72" s="38">
        <v>44445</v>
      </c>
      <c r="B72" s="30">
        <v>8531.4</v>
      </c>
      <c r="C72" s="43">
        <f t="shared" si="3"/>
        <v>1.8920394733785751E-2</v>
      </c>
      <c r="D72" s="29">
        <v>22.37</v>
      </c>
      <c r="E72" s="43">
        <f t="shared" si="4"/>
        <v>-4.8002234360893854E-2</v>
      </c>
      <c r="F72" s="77">
        <f t="shared" si="5"/>
        <v>6.6922629094679609E-2</v>
      </c>
    </row>
    <row r="73" spans="1:6" x14ac:dyDescent="0.2">
      <c r="A73" s="38">
        <v>44446</v>
      </c>
      <c r="B73" s="30">
        <v>8266.5</v>
      </c>
      <c r="C73" s="43">
        <f t="shared" si="3"/>
        <v>-3.1542271638983967E-2</v>
      </c>
      <c r="D73" s="29">
        <v>23.22</v>
      </c>
      <c r="E73" s="43">
        <f t="shared" si="4"/>
        <v>3.7293200767707119E-2</v>
      </c>
      <c r="F73" s="77">
        <f t="shared" si="5"/>
        <v>-6.8835472406691078E-2</v>
      </c>
    </row>
    <row r="74" spans="1:6" x14ac:dyDescent="0.2">
      <c r="A74" s="38">
        <v>44447</v>
      </c>
      <c r="B74" s="30">
        <v>7855.1</v>
      </c>
      <c r="C74" s="43">
        <f t="shared" si="3"/>
        <v>-5.104820063796485E-2</v>
      </c>
      <c r="D74" s="29">
        <v>23.28</v>
      </c>
      <c r="E74" s="43">
        <f t="shared" si="4"/>
        <v>2.580646593491713E-3</v>
      </c>
      <c r="F74" s="77">
        <f t="shared" si="5"/>
        <v>-5.3628847231456563E-2</v>
      </c>
    </row>
    <row r="75" spans="1:6" x14ac:dyDescent="0.2">
      <c r="A75" s="38">
        <v>44448</v>
      </c>
      <c r="B75" s="30">
        <v>7435.1</v>
      </c>
      <c r="C75" s="43">
        <f t="shared" si="3"/>
        <v>-5.4950972650502729E-2</v>
      </c>
      <c r="D75" s="29">
        <v>22.93</v>
      </c>
      <c r="E75" s="43">
        <f t="shared" si="4"/>
        <v>-1.514852599342406E-2</v>
      </c>
      <c r="F75" s="77">
        <f t="shared" si="5"/>
        <v>-3.9802446657078668E-2</v>
      </c>
    </row>
    <row r="76" spans="1:6" x14ac:dyDescent="0.2">
      <c r="A76" s="38">
        <v>44450</v>
      </c>
      <c r="B76" s="30">
        <v>8347.2999999999993</v>
      </c>
      <c r="C76" s="43">
        <f t="shared" si="3"/>
        <v>0.11572610355860725</v>
      </c>
      <c r="D76" s="29">
        <v>24.59</v>
      </c>
      <c r="E76" s="43">
        <f t="shared" si="4"/>
        <v>6.9893759358288191E-2</v>
      </c>
      <c r="F76" s="77">
        <f t="shared" si="5"/>
        <v>4.5832344200319064E-2</v>
      </c>
    </row>
    <row r="77" spans="1:6" x14ac:dyDescent="0.2">
      <c r="A77" s="38">
        <v>44451</v>
      </c>
      <c r="B77" s="30">
        <v>8026.7</v>
      </c>
      <c r="C77" s="43">
        <f t="shared" si="3"/>
        <v>-3.9164648691594431E-2</v>
      </c>
      <c r="D77" s="29">
        <v>22.34</v>
      </c>
      <c r="E77" s="43">
        <f t="shared" si="4"/>
        <v>-9.5961062587046592E-2</v>
      </c>
      <c r="F77" s="77">
        <f t="shared" si="5"/>
        <v>5.6796413895452161E-2</v>
      </c>
    </row>
    <row r="78" spans="1:6" x14ac:dyDescent="0.2">
      <c r="A78" s="38">
        <v>44471</v>
      </c>
      <c r="B78" s="30">
        <v>8405.7000000000007</v>
      </c>
      <c r="C78" s="43">
        <f t="shared" si="3"/>
        <v>4.6136562564538297E-2</v>
      </c>
      <c r="D78" s="29">
        <v>30.79</v>
      </c>
      <c r="E78" s="43">
        <f t="shared" si="4"/>
        <v>0.32081116829535428</v>
      </c>
      <c r="F78" s="77">
        <f t="shared" si="5"/>
        <v>-0.27467460573081598</v>
      </c>
    </row>
    <row r="79" spans="1:6" x14ac:dyDescent="0.2">
      <c r="A79" s="38">
        <v>44472</v>
      </c>
      <c r="B79" s="30">
        <v>8335.1</v>
      </c>
      <c r="C79" s="43">
        <f t="shared" si="3"/>
        <v>-8.4345334210795177E-3</v>
      </c>
      <c r="D79" s="29">
        <v>24.12</v>
      </c>
      <c r="E79" s="43">
        <f t="shared" si="4"/>
        <v>-0.24414859007742429</v>
      </c>
      <c r="F79" s="77">
        <f t="shared" si="5"/>
        <v>0.23571405665634476</v>
      </c>
    </row>
    <row r="80" spans="1:6" x14ac:dyDescent="0.2">
      <c r="A80" s="38">
        <v>44474</v>
      </c>
      <c r="B80" s="30">
        <v>8110.7</v>
      </c>
      <c r="C80" s="43">
        <f t="shared" si="3"/>
        <v>-2.7291336135126312E-2</v>
      </c>
      <c r="D80" s="29">
        <v>21.38</v>
      </c>
      <c r="E80" s="43">
        <f t="shared" si="4"/>
        <v>-0.12058546626208563</v>
      </c>
      <c r="F80" s="77">
        <f t="shared" si="5"/>
        <v>9.3294130126959321E-2</v>
      </c>
    </row>
    <row r="81" spans="1:6" x14ac:dyDescent="0.2">
      <c r="A81" s="38">
        <v>44475</v>
      </c>
      <c r="B81" s="30">
        <v>8437.9</v>
      </c>
      <c r="C81" s="43">
        <f t="shared" si="3"/>
        <v>3.9549284886219595E-2</v>
      </c>
      <c r="D81" s="29">
        <v>22.34</v>
      </c>
      <c r="E81" s="43">
        <f t="shared" si="4"/>
        <v>4.3922888044155513E-2</v>
      </c>
      <c r="F81" s="77">
        <f t="shared" si="5"/>
        <v>-4.373603157935918E-3</v>
      </c>
    </row>
    <row r="82" spans="1:6" x14ac:dyDescent="0.2">
      <c r="A82" s="38">
        <v>44477</v>
      </c>
      <c r="B82" s="30">
        <v>7794.5</v>
      </c>
      <c r="C82" s="43">
        <f t="shared" si="3"/>
        <v>-7.9315105711761424E-2</v>
      </c>
      <c r="D82" s="29">
        <v>23.25</v>
      </c>
      <c r="E82" s="43">
        <f t="shared" si="4"/>
        <v>3.992633839231062E-2</v>
      </c>
      <c r="F82" s="77">
        <f t="shared" si="5"/>
        <v>-0.11924144410407204</v>
      </c>
    </row>
    <row r="83" spans="1:6" x14ac:dyDescent="0.2">
      <c r="A83" s="38">
        <v>44478</v>
      </c>
      <c r="B83" s="30">
        <v>7504.8</v>
      </c>
      <c r="C83" s="43">
        <f t="shared" si="3"/>
        <v>-3.78755409409944E-2</v>
      </c>
      <c r="D83" s="29">
        <v>22.57</v>
      </c>
      <c r="E83" s="43">
        <f t="shared" si="4"/>
        <v>-2.9683541203920926E-2</v>
      </c>
      <c r="F83" s="77">
        <f t="shared" si="5"/>
        <v>-8.1919997370734736E-3</v>
      </c>
    </row>
    <row r="84" spans="1:6" x14ac:dyDescent="0.2">
      <c r="A84" s="38">
        <v>44480</v>
      </c>
      <c r="B84" s="30">
        <v>8256.4</v>
      </c>
      <c r="C84" s="43">
        <f t="shared" si="3"/>
        <v>9.5445841348361204E-2</v>
      </c>
      <c r="D84" s="29">
        <v>24.24</v>
      </c>
      <c r="E84" s="43">
        <f t="shared" si="4"/>
        <v>7.1382570371669202E-2</v>
      </c>
      <c r="F84" s="77">
        <f t="shared" si="5"/>
        <v>2.4063270976692003E-2</v>
      </c>
    </row>
    <row r="85" spans="1:6" x14ac:dyDescent="0.2">
      <c r="A85" s="38">
        <v>44481</v>
      </c>
      <c r="B85" s="30">
        <v>7907</v>
      </c>
      <c r="C85" s="43">
        <f t="shared" si="3"/>
        <v>-4.3240214089175479E-2</v>
      </c>
      <c r="D85" s="29">
        <v>22.19</v>
      </c>
      <c r="E85" s="43">
        <f t="shared" si="4"/>
        <v>-8.8362424256611075E-2</v>
      </c>
      <c r="F85" s="77">
        <f t="shared" si="5"/>
        <v>4.5122210167435596E-2</v>
      </c>
    </row>
    <row r="86" spans="1:6" x14ac:dyDescent="0.2">
      <c r="A86" s="38">
        <v>44501</v>
      </c>
      <c r="B86" s="30">
        <v>8754.5</v>
      </c>
      <c r="C86" s="43">
        <f t="shared" si="3"/>
        <v>0.10181941079544438</v>
      </c>
      <c r="D86" s="29">
        <v>32.04</v>
      </c>
      <c r="E86" s="43">
        <f t="shared" si="4"/>
        <v>0.36734338525565591</v>
      </c>
      <c r="F86" s="77">
        <f t="shared" si="5"/>
        <v>-0.26552397446021153</v>
      </c>
    </row>
    <row r="87" spans="1:6" x14ac:dyDescent="0.2">
      <c r="A87" s="38">
        <v>44502</v>
      </c>
      <c r="B87" s="30">
        <v>8369.2000000000007</v>
      </c>
      <c r="C87" s="43">
        <f t="shared" si="3"/>
        <v>-4.5009553401275285E-2</v>
      </c>
      <c r="D87" s="29">
        <v>30.95</v>
      </c>
      <c r="E87" s="43">
        <f t="shared" si="4"/>
        <v>-3.4612123069553392E-2</v>
      </c>
      <c r="F87" s="77">
        <f t="shared" si="5"/>
        <v>-1.0397430331721892E-2</v>
      </c>
    </row>
    <row r="88" spans="1:6" x14ac:dyDescent="0.2">
      <c r="A88" s="38">
        <v>44503</v>
      </c>
      <c r="B88" s="30">
        <v>8366.4</v>
      </c>
      <c r="C88" s="43">
        <f t="shared" si="3"/>
        <v>-3.3461603123004528E-4</v>
      </c>
      <c r="D88" s="29">
        <v>25.65</v>
      </c>
      <c r="E88" s="43">
        <f t="shared" si="4"/>
        <v>-0.18782942751382656</v>
      </c>
      <c r="F88" s="77">
        <f t="shared" si="5"/>
        <v>0.1874948114825965</v>
      </c>
    </row>
    <row r="89" spans="1:6" x14ac:dyDescent="0.2">
      <c r="A89" s="38">
        <v>44505</v>
      </c>
      <c r="B89" s="30">
        <v>7890.8</v>
      </c>
      <c r="C89" s="43">
        <f t="shared" si="3"/>
        <v>-5.8526160564152371E-2</v>
      </c>
      <c r="D89" s="29">
        <v>21.43</v>
      </c>
      <c r="E89" s="43">
        <f t="shared" si="4"/>
        <v>-0.17975176213129285</v>
      </c>
      <c r="F89" s="77">
        <f t="shared" si="5"/>
        <v>0.12122560156714048</v>
      </c>
    </row>
    <row r="90" spans="1:6" x14ac:dyDescent="0.2">
      <c r="A90" s="38">
        <v>44506</v>
      </c>
      <c r="B90" s="30">
        <v>8483.7999999999993</v>
      </c>
      <c r="C90" s="43">
        <f t="shared" si="3"/>
        <v>7.2460938751043022E-2</v>
      </c>
      <c r="D90" s="29">
        <v>22.53</v>
      </c>
      <c r="E90" s="43">
        <f t="shared" si="4"/>
        <v>5.0055944958667394E-2</v>
      </c>
      <c r="F90" s="77">
        <f t="shared" si="5"/>
        <v>2.2404993792375628E-2</v>
      </c>
    </row>
    <row r="91" spans="1:6" x14ac:dyDescent="0.2">
      <c r="A91" s="38">
        <v>44508</v>
      </c>
      <c r="B91" s="30">
        <v>7868.3</v>
      </c>
      <c r="C91" s="43">
        <f t="shared" si="3"/>
        <v>-7.5316433708048192E-2</v>
      </c>
      <c r="D91" s="29">
        <v>23.11</v>
      </c>
      <c r="E91" s="43">
        <f t="shared" si="4"/>
        <v>2.5417669842136226E-2</v>
      </c>
      <c r="F91" s="77">
        <f t="shared" si="5"/>
        <v>-0.10073410355018442</v>
      </c>
    </row>
    <row r="92" spans="1:6" x14ac:dyDescent="0.2">
      <c r="A92" s="38">
        <v>44510</v>
      </c>
      <c r="B92" s="30">
        <v>9067.5</v>
      </c>
      <c r="C92" s="43">
        <f t="shared" si="3"/>
        <v>0.14185456324434878</v>
      </c>
      <c r="D92" s="29">
        <v>21.42</v>
      </c>
      <c r="E92" s="43">
        <f t="shared" si="4"/>
        <v>-7.5940359266686547E-2</v>
      </c>
      <c r="F92" s="77">
        <f t="shared" si="5"/>
        <v>0.21779492251103533</v>
      </c>
    </row>
    <row r="93" spans="1:6" x14ac:dyDescent="0.2">
      <c r="A93" s="38">
        <v>44511</v>
      </c>
      <c r="B93" s="30">
        <v>8092.8</v>
      </c>
      <c r="C93" s="43">
        <f t="shared" si="3"/>
        <v>-0.11372181468141145</v>
      </c>
      <c r="D93" s="29">
        <v>24.88</v>
      </c>
      <c r="E93" s="43">
        <f t="shared" si="4"/>
        <v>0.14973920285137587</v>
      </c>
      <c r="F93" s="77">
        <f t="shared" si="5"/>
        <v>-0.26346101753278733</v>
      </c>
    </row>
    <row r="94" spans="1:6" x14ac:dyDescent="0.2">
      <c r="A94" s="38">
        <v>44531</v>
      </c>
      <c r="B94" s="30">
        <v>8700.5</v>
      </c>
      <c r="C94" s="43">
        <f t="shared" si="3"/>
        <v>7.2405717779986986E-2</v>
      </c>
      <c r="D94" s="29">
        <v>32.43</v>
      </c>
      <c r="E94" s="43">
        <f t="shared" si="4"/>
        <v>0.26501965244824799</v>
      </c>
      <c r="F94" s="77">
        <f t="shared" si="5"/>
        <v>-0.19261393466826099</v>
      </c>
    </row>
    <row r="95" spans="1:6" x14ac:dyDescent="0.2">
      <c r="A95" s="38">
        <v>44532</v>
      </c>
      <c r="B95" s="30">
        <v>8260.6</v>
      </c>
      <c r="C95" s="43">
        <f t="shared" si="3"/>
        <v>-5.1883271153528455E-2</v>
      </c>
      <c r="D95" s="29">
        <v>30.32</v>
      </c>
      <c r="E95" s="43">
        <f t="shared" si="4"/>
        <v>-6.727635954505562E-2</v>
      </c>
      <c r="F95" s="77">
        <f t="shared" si="5"/>
        <v>1.5393088391527164E-2</v>
      </c>
    </row>
    <row r="96" spans="1:6" x14ac:dyDescent="0.2">
      <c r="A96" s="38">
        <v>44533</v>
      </c>
      <c r="B96" s="30">
        <v>8489.7000000000007</v>
      </c>
      <c r="C96" s="43">
        <f t="shared" si="3"/>
        <v>2.7356439889922278E-2</v>
      </c>
      <c r="D96" s="29">
        <v>25.45</v>
      </c>
      <c r="E96" s="43">
        <f t="shared" si="4"/>
        <v>-0.17509181777763916</v>
      </c>
      <c r="F96" s="77">
        <f t="shared" si="5"/>
        <v>0.20244825766756144</v>
      </c>
    </row>
    <row r="97" spans="1:6" x14ac:dyDescent="0.2">
      <c r="A97" s="38">
        <v>44534</v>
      </c>
      <c r="B97" s="30">
        <v>8350.1</v>
      </c>
      <c r="C97" s="43">
        <f t="shared" si="3"/>
        <v>-1.6580149170933856E-2</v>
      </c>
      <c r="D97" s="29">
        <v>23</v>
      </c>
      <c r="E97" s="43">
        <f t="shared" si="4"/>
        <v>-0.10122152706738198</v>
      </c>
      <c r="F97" s="77">
        <f t="shared" si="5"/>
        <v>8.4641377896448128E-2</v>
      </c>
    </row>
    <row r="98" spans="1:6" x14ac:dyDescent="0.2">
      <c r="A98" s="38">
        <v>44535</v>
      </c>
      <c r="B98" s="30">
        <v>7732.1</v>
      </c>
      <c r="C98" s="43">
        <f t="shared" si="3"/>
        <v>-7.6893020312149576E-2</v>
      </c>
      <c r="D98" s="29">
        <v>20.71</v>
      </c>
      <c r="E98" s="43">
        <f t="shared" si="4"/>
        <v>-0.10487754052165685</v>
      </c>
      <c r="F98" s="77">
        <f t="shared" si="5"/>
        <v>2.7984520209507271E-2</v>
      </c>
    </row>
    <row r="99" spans="1:6" x14ac:dyDescent="0.2">
      <c r="A99" s="38">
        <v>44537</v>
      </c>
      <c r="B99" s="30">
        <v>8251.2000000000007</v>
      </c>
      <c r="C99" s="43">
        <f t="shared" si="3"/>
        <v>6.4978149787751141E-2</v>
      </c>
      <c r="D99" s="29">
        <v>23.49</v>
      </c>
      <c r="E99" s="43">
        <f t="shared" si="4"/>
        <v>0.12595812326332859</v>
      </c>
      <c r="F99" s="77">
        <f t="shared" si="5"/>
        <v>-6.0979973475577445E-2</v>
      </c>
    </row>
    <row r="100" spans="1:6" x14ac:dyDescent="0.2">
      <c r="A100" s="38">
        <v>44538</v>
      </c>
      <c r="B100" s="30">
        <v>7909.9</v>
      </c>
      <c r="C100" s="43">
        <f t="shared" si="3"/>
        <v>-4.224350483994032E-2</v>
      </c>
      <c r="D100" s="29">
        <v>22.82</v>
      </c>
      <c r="E100" s="43">
        <f t="shared" si="4"/>
        <v>-2.8937454236891761E-2</v>
      </c>
      <c r="F100" s="77">
        <f t="shared" si="5"/>
        <v>-1.3306050603048559E-2</v>
      </c>
    </row>
    <row r="101" spans="1:6" x14ac:dyDescent="0.2">
      <c r="A101" s="38">
        <v>44540</v>
      </c>
      <c r="B101" s="30">
        <v>8966.4</v>
      </c>
      <c r="C101" s="43">
        <f t="shared" si="3"/>
        <v>0.12536911824587876</v>
      </c>
      <c r="D101" s="29">
        <v>22.23</v>
      </c>
      <c r="E101" s="43">
        <f t="shared" si="4"/>
        <v>-2.6194616457824348E-2</v>
      </c>
      <c r="F101" s="77">
        <f t="shared" si="5"/>
        <v>0.1515637347037031</v>
      </c>
    </row>
    <row r="102" spans="1:6" x14ac:dyDescent="0.2">
      <c r="A102" s="38">
        <v>44541</v>
      </c>
      <c r="B102" s="30">
        <v>8203.2000000000007</v>
      </c>
      <c r="C102" s="43">
        <f t="shared" si="3"/>
        <v>-8.8959935673196891E-2</v>
      </c>
      <c r="D102" s="29">
        <v>25.08</v>
      </c>
      <c r="E102" s="43">
        <f t="shared" si="4"/>
        <v>0.12062798778861472</v>
      </c>
      <c r="F102" s="77">
        <f t="shared" si="5"/>
        <v>-0.2095879234618116</v>
      </c>
    </row>
    <row r="103" spans="1:6" x14ac:dyDescent="0.2">
      <c r="A103" s="38">
        <v>44563</v>
      </c>
      <c r="B103" s="30">
        <v>8545.9</v>
      </c>
      <c r="C103" s="43">
        <f t="shared" si="3"/>
        <v>4.0927313725309278E-2</v>
      </c>
      <c r="D103" s="29">
        <v>18.72</v>
      </c>
      <c r="E103" s="43">
        <f t="shared" si="4"/>
        <v>-0.29247824471527395</v>
      </c>
      <c r="F103" s="77">
        <f t="shared" si="5"/>
        <v>0.33340555844058323</v>
      </c>
    </row>
    <row r="104" spans="1:6" x14ac:dyDescent="0.2">
      <c r="A104" s="38">
        <v>44564</v>
      </c>
      <c r="B104" s="30">
        <v>9102.4</v>
      </c>
      <c r="C104" s="43">
        <f t="shared" si="3"/>
        <v>6.3086479241637267E-2</v>
      </c>
      <c r="D104" s="29">
        <v>20.51</v>
      </c>
      <c r="E104" s="43">
        <f t="shared" si="4"/>
        <v>9.1320101034843351E-2</v>
      </c>
      <c r="F104" s="77">
        <f t="shared" si="5"/>
        <v>-2.8233621793206085E-2</v>
      </c>
    </row>
    <row r="105" spans="1:6" x14ac:dyDescent="0.2">
      <c r="A105" s="38">
        <v>44565</v>
      </c>
      <c r="B105" s="30">
        <v>10002.1</v>
      </c>
      <c r="C105" s="43">
        <f t="shared" si="3"/>
        <v>9.425695593288648E-2</v>
      </c>
      <c r="D105" s="29">
        <v>21.64</v>
      </c>
      <c r="E105" s="43">
        <f t="shared" si="4"/>
        <v>5.3630881893991435E-2</v>
      </c>
      <c r="F105" s="77">
        <f t="shared" si="5"/>
        <v>4.0626074038895045E-2</v>
      </c>
    </row>
    <row r="106" spans="1:6" x14ac:dyDescent="0.2">
      <c r="A106" s="38">
        <v>44567</v>
      </c>
      <c r="B106" s="30">
        <v>10081.6</v>
      </c>
      <c r="C106" s="43">
        <f t="shared" si="3"/>
        <v>7.9169092585218964E-3</v>
      </c>
      <c r="D106" s="29">
        <v>19.649999999999999</v>
      </c>
      <c r="E106" s="43">
        <f t="shared" si="4"/>
        <v>-9.6466115663010651E-2</v>
      </c>
      <c r="F106" s="77">
        <f t="shared" si="5"/>
        <v>0.10438302492153255</v>
      </c>
    </row>
    <row r="107" spans="1:6" x14ac:dyDescent="0.2">
      <c r="A107" s="38">
        <v>44568</v>
      </c>
      <c r="B107" s="30">
        <v>9688.4</v>
      </c>
      <c r="C107" s="43">
        <f t="shared" si="3"/>
        <v>-3.9782686615619678E-2</v>
      </c>
      <c r="D107" s="29">
        <v>19.32</v>
      </c>
      <c r="E107" s="43">
        <f t="shared" si="4"/>
        <v>-1.6936509530898175E-2</v>
      </c>
      <c r="F107" s="77">
        <f t="shared" si="5"/>
        <v>-2.2846177084721503E-2</v>
      </c>
    </row>
    <row r="108" spans="1:6" x14ac:dyDescent="0.2">
      <c r="A108" s="38">
        <v>44569</v>
      </c>
      <c r="B108" s="30">
        <v>10437.799999999999</v>
      </c>
      <c r="C108" s="43">
        <f t="shared" si="3"/>
        <v>7.4504538688851277E-2</v>
      </c>
      <c r="D108" s="29">
        <v>22.01</v>
      </c>
      <c r="E108" s="43">
        <f t="shared" si="4"/>
        <v>0.1303560667539985</v>
      </c>
      <c r="F108" s="77">
        <f t="shared" si="5"/>
        <v>-5.5851528065147218E-2</v>
      </c>
    </row>
    <row r="109" spans="1:6" x14ac:dyDescent="0.2">
      <c r="A109" s="38">
        <v>44570</v>
      </c>
      <c r="B109" s="30">
        <v>10755.2</v>
      </c>
      <c r="C109" s="43">
        <f t="shared" si="3"/>
        <v>2.9955526269763916E-2</v>
      </c>
      <c r="D109" s="29">
        <v>21.79</v>
      </c>
      <c r="E109" s="43">
        <f t="shared" si="4"/>
        <v>-1.0045746581841876E-2</v>
      </c>
      <c r="F109" s="77">
        <f t="shared" si="5"/>
        <v>4.000127285160579E-2</v>
      </c>
    </row>
    <row r="110" spans="1:6" x14ac:dyDescent="0.2">
      <c r="A110" s="38">
        <v>44572</v>
      </c>
      <c r="B110" s="30">
        <v>11445.6</v>
      </c>
      <c r="C110" s="43">
        <f t="shared" si="3"/>
        <v>6.221601812133766E-2</v>
      </c>
      <c r="D110" s="29">
        <v>18.920000000000002</v>
      </c>
      <c r="E110" s="43">
        <f t="shared" si="4"/>
        <v>-0.14123158533279609</v>
      </c>
      <c r="F110" s="77">
        <f t="shared" si="5"/>
        <v>0.20344760345413376</v>
      </c>
    </row>
    <row r="111" spans="1:6" x14ac:dyDescent="0.2">
      <c r="A111" s="38">
        <v>44573</v>
      </c>
      <c r="B111" s="30">
        <v>11410.3</v>
      </c>
      <c r="C111" s="43">
        <f t="shared" si="3"/>
        <v>-3.0889204159714741E-3</v>
      </c>
      <c r="D111" s="29">
        <v>20.96</v>
      </c>
      <c r="E111" s="43">
        <f t="shared" si="4"/>
        <v>0.1023962958291091</v>
      </c>
      <c r="F111" s="77">
        <f t="shared" si="5"/>
        <v>-0.10548521624508057</v>
      </c>
    </row>
    <row r="112" spans="1:6" x14ac:dyDescent="0.2">
      <c r="A112" s="38">
        <v>44594</v>
      </c>
      <c r="B112" s="30">
        <v>8788.6</v>
      </c>
      <c r="C112" s="43">
        <f t="shared" si="3"/>
        <v>-0.2610610291419323</v>
      </c>
      <c r="D112" s="29">
        <v>18.64</v>
      </c>
      <c r="E112" s="43">
        <f t="shared" si="4"/>
        <v>-0.11730605019539631</v>
      </c>
      <c r="F112" s="77">
        <f t="shared" si="5"/>
        <v>-0.14375497894653599</v>
      </c>
    </row>
    <row r="113" spans="1:6" x14ac:dyDescent="0.2">
      <c r="A113" s="38">
        <v>44595</v>
      </c>
      <c r="B113" s="30">
        <v>9546.4</v>
      </c>
      <c r="C113" s="43">
        <f t="shared" si="3"/>
        <v>8.2708692961225461E-2</v>
      </c>
      <c r="D113" s="29">
        <v>20.18</v>
      </c>
      <c r="E113" s="43">
        <f t="shared" si="4"/>
        <v>7.9382205668017722E-2</v>
      </c>
      <c r="F113" s="77">
        <f t="shared" si="5"/>
        <v>3.3264872932077388E-3</v>
      </c>
    </row>
    <row r="114" spans="1:6" x14ac:dyDescent="0.2">
      <c r="A114" s="38">
        <v>44597</v>
      </c>
      <c r="B114" s="30">
        <v>10068.9</v>
      </c>
      <c r="C114" s="43">
        <f t="shared" si="3"/>
        <v>5.3287345338014047E-2</v>
      </c>
      <c r="D114" s="29">
        <v>18.87</v>
      </c>
      <c r="E114" s="43">
        <f t="shared" si="4"/>
        <v>-6.7118655545004027E-2</v>
      </c>
      <c r="F114" s="77">
        <f t="shared" si="5"/>
        <v>0.12040600088301807</v>
      </c>
    </row>
    <row r="115" spans="1:6" x14ac:dyDescent="0.2">
      <c r="A115" s="38">
        <v>44598</v>
      </c>
      <c r="B115" s="30">
        <v>10389.799999999999</v>
      </c>
      <c r="C115" s="43">
        <f t="shared" si="3"/>
        <v>3.1373090236391225E-2</v>
      </c>
      <c r="D115" s="29">
        <v>20.45</v>
      </c>
      <c r="E115" s="43">
        <f t="shared" si="4"/>
        <v>8.0409523108351866E-2</v>
      </c>
      <c r="F115" s="77">
        <f t="shared" si="5"/>
        <v>-4.903643287196064E-2</v>
      </c>
    </row>
    <row r="116" spans="1:6" x14ac:dyDescent="0.2">
      <c r="A116" s="38">
        <v>44600</v>
      </c>
      <c r="B116" s="30">
        <v>10341.4</v>
      </c>
      <c r="C116" s="43">
        <f t="shared" si="3"/>
        <v>-4.6692992143371661E-3</v>
      </c>
      <c r="D116" s="29">
        <v>22.29</v>
      </c>
      <c r="E116" s="43">
        <f t="shared" si="4"/>
        <v>8.6155264908966786E-2</v>
      </c>
      <c r="F116" s="77">
        <f t="shared" si="5"/>
        <v>-9.0824564123303947E-2</v>
      </c>
    </row>
    <row r="117" spans="1:6" x14ac:dyDescent="0.2">
      <c r="A117" s="38">
        <v>44601</v>
      </c>
      <c r="B117" s="30">
        <v>10756.9</v>
      </c>
      <c r="C117" s="43">
        <f t="shared" si="3"/>
        <v>3.9392152701085932E-2</v>
      </c>
      <c r="D117" s="29">
        <v>21.44</v>
      </c>
      <c r="E117" s="43">
        <f t="shared" si="4"/>
        <v>-3.8879811195176105E-2</v>
      </c>
      <c r="F117" s="77">
        <f t="shared" si="5"/>
        <v>7.8271963896262037E-2</v>
      </c>
    </row>
    <row r="118" spans="1:6" x14ac:dyDescent="0.2">
      <c r="A118" s="38">
        <v>44603</v>
      </c>
      <c r="B118" s="30">
        <v>11573.3</v>
      </c>
      <c r="C118" s="43">
        <f t="shared" si="3"/>
        <v>7.3153311801097201E-2</v>
      </c>
      <c r="D118" s="29">
        <v>18.63</v>
      </c>
      <c r="E118" s="43">
        <f t="shared" si="4"/>
        <v>-0.14048515158910427</v>
      </c>
      <c r="F118" s="77">
        <f t="shared" si="5"/>
        <v>0.21363846339020148</v>
      </c>
    </row>
    <row r="119" spans="1:6" x14ac:dyDescent="0.2">
      <c r="A119" s="38">
        <v>44604</v>
      </c>
      <c r="B119" s="30">
        <v>11130.6</v>
      </c>
      <c r="C119" s="43">
        <f t="shared" si="3"/>
        <v>-3.9002648745314727E-2</v>
      </c>
      <c r="D119" s="29">
        <v>21.27</v>
      </c>
      <c r="E119" s="43">
        <f t="shared" si="4"/>
        <v>0.13252444459864871</v>
      </c>
      <c r="F119" s="77">
        <f t="shared" si="5"/>
        <v>-0.17152709334396343</v>
      </c>
    </row>
    <row r="120" spans="1:6" x14ac:dyDescent="0.2">
      <c r="A120" s="38">
        <v>44622</v>
      </c>
      <c r="B120" s="30">
        <v>8727.9</v>
      </c>
      <c r="C120" s="43">
        <f t="shared" si="3"/>
        <v>-0.24317328110366382</v>
      </c>
      <c r="D120" s="29">
        <v>21.34</v>
      </c>
      <c r="E120" s="43">
        <f t="shared" si="4"/>
        <v>3.2856166614614801E-3</v>
      </c>
      <c r="F120" s="77">
        <f t="shared" si="5"/>
        <v>-0.24645889776512531</v>
      </c>
    </row>
    <row r="121" spans="1:6" x14ac:dyDescent="0.2">
      <c r="A121" s="38">
        <v>44623</v>
      </c>
      <c r="B121" s="30">
        <v>9790.7000000000007</v>
      </c>
      <c r="C121" s="43">
        <f t="shared" si="3"/>
        <v>0.1149081644319004</v>
      </c>
      <c r="D121" s="29">
        <v>18.170000000000002</v>
      </c>
      <c r="E121" s="43">
        <f t="shared" si="4"/>
        <v>-0.16081136346552741</v>
      </c>
      <c r="F121" s="77">
        <f t="shared" si="5"/>
        <v>0.27571952789742782</v>
      </c>
    </row>
    <row r="122" spans="1:6" x14ac:dyDescent="0.2">
      <c r="A122" s="38">
        <v>44625</v>
      </c>
      <c r="B122" s="30">
        <v>10043.299999999999</v>
      </c>
      <c r="C122" s="43">
        <f t="shared" si="3"/>
        <v>2.5472789998898876E-2</v>
      </c>
      <c r="D122" s="29">
        <v>19.57</v>
      </c>
      <c r="E122" s="43">
        <f t="shared" si="4"/>
        <v>7.4225898999904921E-2</v>
      </c>
      <c r="F122" s="77">
        <f t="shared" si="5"/>
        <v>-4.8753109001006045E-2</v>
      </c>
    </row>
    <row r="123" spans="1:6" x14ac:dyDescent="0.2">
      <c r="A123" s="38">
        <v>44626</v>
      </c>
      <c r="B123" s="30">
        <v>10497.4</v>
      </c>
      <c r="C123" s="43">
        <f t="shared" si="3"/>
        <v>4.4221861935819423E-2</v>
      </c>
      <c r="D123" s="29">
        <v>19.170000000000002</v>
      </c>
      <c r="E123" s="43">
        <f t="shared" si="4"/>
        <v>-2.0651224350431659E-2</v>
      </c>
      <c r="F123" s="77">
        <f t="shared" si="5"/>
        <v>6.4873086286251075E-2</v>
      </c>
    </row>
    <row r="124" spans="1:6" x14ac:dyDescent="0.2">
      <c r="A124" s="38">
        <v>44628</v>
      </c>
      <c r="B124" s="30">
        <v>10305.200000000001</v>
      </c>
      <c r="C124" s="43">
        <f t="shared" si="3"/>
        <v>-1.8478985244769212E-2</v>
      </c>
      <c r="D124" s="29">
        <v>20.29</v>
      </c>
      <c r="E124" s="43">
        <f t="shared" si="4"/>
        <v>5.6781596780170134E-2</v>
      </c>
      <c r="F124" s="77">
        <f t="shared" si="5"/>
        <v>-7.5260582024939349E-2</v>
      </c>
    </row>
    <row r="125" spans="1:6" x14ac:dyDescent="0.2">
      <c r="A125" s="38">
        <v>44630</v>
      </c>
      <c r="B125" s="30">
        <v>10359.9</v>
      </c>
      <c r="C125" s="43">
        <f t="shared" si="3"/>
        <v>5.2939620666675943E-3</v>
      </c>
      <c r="D125" s="29">
        <v>21.82</v>
      </c>
      <c r="E125" s="43">
        <f t="shared" si="4"/>
        <v>7.2698826567201502E-2</v>
      </c>
      <c r="F125" s="77">
        <f t="shared" si="5"/>
        <v>-6.7404864500533901E-2</v>
      </c>
    </row>
    <row r="126" spans="1:6" x14ac:dyDescent="0.2">
      <c r="A126" s="38">
        <v>44631</v>
      </c>
      <c r="B126" s="30">
        <v>11437.1</v>
      </c>
      <c r="C126" s="43">
        <f t="shared" si="3"/>
        <v>9.8919873037387043E-2</v>
      </c>
      <c r="D126" s="29">
        <v>19.68</v>
      </c>
      <c r="E126" s="43">
        <f t="shared" si="4"/>
        <v>-0.10322408878081746</v>
      </c>
      <c r="F126" s="77">
        <f t="shared" si="5"/>
        <v>0.20214396181820449</v>
      </c>
    </row>
    <row r="127" spans="1:6" x14ac:dyDescent="0.2">
      <c r="A127" s="38">
        <v>44652</v>
      </c>
      <c r="B127" s="30">
        <v>8206.9</v>
      </c>
      <c r="C127" s="43">
        <f t="shared" si="3"/>
        <v>-0.33188719345950612</v>
      </c>
      <c r="D127" s="29">
        <v>19.02</v>
      </c>
      <c r="E127" s="43">
        <f t="shared" si="4"/>
        <v>-3.4111834506863149E-2</v>
      </c>
      <c r="F127" s="77">
        <f t="shared" si="5"/>
        <v>-0.29777535895264295</v>
      </c>
    </row>
    <row r="128" spans="1:6" x14ac:dyDescent="0.2">
      <c r="A128" s="38">
        <v>44653</v>
      </c>
      <c r="B128" s="30">
        <v>8823.4</v>
      </c>
      <c r="C128" s="43">
        <f t="shared" si="3"/>
        <v>7.2432019412836723E-2</v>
      </c>
      <c r="D128" s="29">
        <v>21.01</v>
      </c>
      <c r="E128" s="43">
        <f t="shared" si="4"/>
        <v>9.9507457739664823E-2</v>
      </c>
      <c r="F128" s="77">
        <f t="shared" si="5"/>
        <v>-2.70754383268281E-2</v>
      </c>
    </row>
    <row r="129" spans="1:6" x14ac:dyDescent="0.2">
      <c r="A129" s="38">
        <v>44654</v>
      </c>
      <c r="B129" s="30">
        <v>9685.4</v>
      </c>
      <c r="C129" s="43">
        <f t="shared" si="3"/>
        <v>9.3212313721179094E-2</v>
      </c>
      <c r="D129" s="29">
        <v>18.34</v>
      </c>
      <c r="E129" s="43">
        <f t="shared" si="4"/>
        <v>-0.13591404802859036</v>
      </c>
      <c r="F129" s="77">
        <f t="shared" si="5"/>
        <v>0.22912636174976947</v>
      </c>
    </row>
    <row r="130" spans="1:6" x14ac:dyDescent="0.2">
      <c r="A130" s="38">
        <v>44655</v>
      </c>
      <c r="B130" s="30">
        <v>10066</v>
      </c>
      <c r="C130" s="43">
        <f t="shared" si="3"/>
        <v>3.8543811367172769E-2</v>
      </c>
      <c r="D130" s="29">
        <v>19.420000000000002</v>
      </c>
      <c r="E130" s="43">
        <f t="shared" si="4"/>
        <v>5.7218996034860185E-2</v>
      </c>
      <c r="F130" s="77">
        <f t="shared" si="5"/>
        <v>-1.8675184667687417E-2</v>
      </c>
    </row>
    <row r="131" spans="1:6" x14ac:dyDescent="0.2">
      <c r="A131" s="38">
        <v>44656</v>
      </c>
      <c r="B131" s="30">
        <v>10126.299999999999</v>
      </c>
      <c r="C131" s="43">
        <f t="shared" si="3"/>
        <v>5.9725914582223873E-3</v>
      </c>
      <c r="D131" s="29">
        <v>22.08</v>
      </c>
      <c r="E131" s="43">
        <f t="shared" si="4"/>
        <v>0.12836875854571547</v>
      </c>
      <c r="F131" s="77">
        <f t="shared" si="5"/>
        <v>-0.12239616708749308</v>
      </c>
    </row>
    <row r="132" spans="1:6" x14ac:dyDescent="0.2">
      <c r="A132" s="38">
        <v>44658</v>
      </c>
      <c r="B132" s="30">
        <v>9941.9</v>
      </c>
      <c r="C132" s="43">
        <f t="shared" si="3"/>
        <v>-1.8377850528857841E-2</v>
      </c>
      <c r="D132" s="29">
        <v>19.97</v>
      </c>
      <c r="E132" s="43">
        <f t="shared" si="4"/>
        <v>-0.10044107398117072</v>
      </c>
      <c r="F132" s="77">
        <f t="shared" si="5"/>
        <v>8.2063223452312872E-2</v>
      </c>
    </row>
    <row r="133" spans="1:6" x14ac:dyDescent="0.2">
      <c r="A133" s="38">
        <v>44659</v>
      </c>
      <c r="B133" s="30">
        <v>10074.1</v>
      </c>
      <c r="C133" s="43">
        <f t="shared" ref="C133:C196" si="6">LN(B133/B132)</f>
        <v>1.3209624534235626E-2</v>
      </c>
      <c r="D133" s="29">
        <v>22.24</v>
      </c>
      <c r="E133" s="43">
        <f t="shared" ref="E133:E196" si="7">LN(D133/D132)</f>
        <v>0.10766132195465783</v>
      </c>
      <c r="F133" s="77">
        <f t="shared" ref="F133:F196" si="8">C133-E133</f>
        <v>-9.4451697420422198E-2</v>
      </c>
    </row>
    <row r="134" spans="1:6" x14ac:dyDescent="0.2">
      <c r="A134" s="38">
        <v>44661</v>
      </c>
      <c r="B134" s="30">
        <v>10822.9</v>
      </c>
      <c r="C134" s="43">
        <f t="shared" si="6"/>
        <v>7.1696485870184637E-2</v>
      </c>
      <c r="D134" s="29">
        <v>20.3</v>
      </c>
      <c r="E134" s="43">
        <f t="shared" si="7"/>
        <v>-9.1271583334639875E-2</v>
      </c>
      <c r="F134" s="77">
        <f t="shared" si="8"/>
        <v>0.16296806920482451</v>
      </c>
    </row>
    <row r="135" spans="1:6" x14ac:dyDescent="0.2">
      <c r="A135" s="38">
        <v>44662</v>
      </c>
      <c r="B135" s="30">
        <v>11822.9</v>
      </c>
      <c r="C135" s="43">
        <f t="shared" si="6"/>
        <v>8.8374069067089903E-2</v>
      </c>
      <c r="D135" s="29">
        <v>19.16</v>
      </c>
      <c r="E135" s="43">
        <f t="shared" si="7"/>
        <v>-5.7796113505027231E-2</v>
      </c>
      <c r="F135" s="77">
        <f t="shared" si="8"/>
        <v>0.14617018257211714</v>
      </c>
    </row>
    <row r="136" spans="1:6" x14ac:dyDescent="0.2">
      <c r="A136" s="38">
        <v>44682</v>
      </c>
      <c r="B136" s="30">
        <v>8274.2999999999993</v>
      </c>
      <c r="C136" s="43">
        <f t="shared" si="6"/>
        <v>-0.35688400321504909</v>
      </c>
      <c r="D136" s="29">
        <v>20.03</v>
      </c>
      <c r="E136" s="43">
        <f t="shared" si="7"/>
        <v>4.4406377135012477E-2</v>
      </c>
      <c r="F136" s="77">
        <f t="shared" si="8"/>
        <v>-0.40129038035006159</v>
      </c>
    </row>
    <row r="137" spans="1:6" x14ac:dyDescent="0.2">
      <c r="A137" s="38">
        <v>44685</v>
      </c>
      <c r="B137" s="30">
        <v>10289.700000000001</v>
      </c>
      <c r="C137" s="43">
        <f t="shared" si="6"/>
        <v>0.21798906936201259</v>
      </c>
      <c r="D137" s="29">
        <v>22.02</v>
      </c>
      <c r="E137" s="43">
        <f t="shared" si="7"/>
        <v>9.4719981616807017E-2</v>
      </c>
      <c r="F137" s="77">
        <f t="shared" si="8"/>
        <v>0.12326908774520558</v>
      </c>
    </row>
    <row r="138" spans="1:6" x14ac:dyDescent="0.2">
      <c r="A138" s="38">
        <v>44686</v>
      </c>
      <c r="B138" s="30">
        <v>10325.6</v>
      </c>
      <c r="C138" s="43">
        <f t="shared" si="6"/>
        <v>3.4828536368343671E-3</v>
      </c>
      <c r="D138" s="29">
        <v>19.190000000000001</v>
      </c>
      <c r="E138" s="43">
        <f t="shared" si="7"/>
        <v>-0.13756182127492531</v>
      </c>
      <c r="F138" s="77">
        <f t="shared" si="8"/>
        <v>0.14104467491175968</v>
      </c>
    </row>
    <row r="139" spans="1:6" x14ac:dyDescent="0.2">
      <c r="A139" s="38">
        <v>44688</v>
      </c>
      <c r="B139" s="30">
        <v>10156.6</v>
      </c>
      <c r="C139" s="43">
        <f t="shared" si="6"/>
        <v>-1.650250806415356E-2</v>
      </c>
      <c r="D139" s="29">
        <v>19.04</v>
      </c>
      <c r="E139" s="43">
        <f t="shared" si="7"/>
        <v>-7.8472806563893664E-3</v>
      </c>
      <c r="F139" s="77">
        <f t="shared" si="8"/>
        <v>-8.6552274077641937E-3</v>
      </c>
    </row>
    <row r="140" spans="1:6" x14ac:dyDescent="0.2">
      <c r="A140" s="38">
        <v>44689</v>
      </c>
      <c r="B140" s="30">
        <v>9929.1</v>
      </c>
      <c r="C140" s="43">
        <f t="shared" si="6"/>
        <v>-2.2653900966242875E-2</v>
      </c>
      <c r="D140" s="29">
        <v>22.41</v>
      </c>
      <c r="E140" s="43">
        <f t="shared" si="7"/>
        <v>0.1629652584496164</v>
      </c>
      <c r="F140" s="77">
        <f t="shared" si="8"/>
        <v>-0.18561915941585927</v>
      </c>
    </row>
    <row r="141" spans="1:6" x14ac:dyDescent="0.2">
      <c r="A141" s="38">
        <v>44690</v>
      </c>
      <c r="B141" s="30">
        <v>11184.3</v>
      </c>
      <c r="C141" s="43">
        <f t="shared" si="6"/>
        <v>0.1190411696575867</v>
      </c>
      <c r="D141" s="29">
        <v>19.489999999999998</v>
      </c>
      <c r="E141" s="43">
        <f t="shared" si="7"/>
        <v>-0.13960577429336621</v>
      </c>
      <c r="F141" s="77">
        <f t="shared" si="8"/>
        <v>0.25864694395095289</v>
      </c>
    </row>
    <row r="142" spans="1:6" x14ac:dyDescent="0.2">
      <c r="A142" s="38">
        <v>44691</v>
      </c>
      <c r="B142" s="30">
        <v>10950</v>
      </c>
      <c r="C142" s="43">
        <f t="shared" si="6"/>
        <v>-2.1171552903521334E-2</v>
      </c>
      <c r="D142" s="29">
        <v>21</v>
      </c>
      <c r="E142" s="43">
        <f t="shared" si="7"/>
        <v>7.4620924203953623E-2</v>
      </c>
      <c r="F142" s="77">
        <f t="shared" si="8"/>
        <v>-9.579247710747496E-2</v>
      </c>
    </row>
    <row r="143" spans="1:6" x14ac:dyDescent="0.2">
      <c r="A143" s="38">
        <v>44693</v>
      </c>
      <c r="B143" s="30">
        <v>11297.5</v>
      </c>
      <c r="C143" s="43">
        <f t="shared" si="6"/>
        <v>3.1242006040787914E-2</v>
      </c>
      <c r="D143" s="29">
        <v>19.75</v>
      </c>
      <c r="E143" s="43">
        <f t="shared" si="7"/>
        <v>-6.136894637629213E-2</v>
      </c>
      <c r="F143" s="77">
        <f t="shared" si="8"/>
        <v>9.2610952417080047E-2</v>
      </c>
    </row>
    <row r="144" spans="1:6" x14ac:dyDescent="0.2">
      <c r="A144" s="38">
        <v>44713</v>
      </c>
      <c r="B144" s="30">
        <v>8060</v>
      </c>
      <c r="C144" s="43">
        <f t="shared" si="6"/>
        <v>-0.33766790578476086</v>
      </c>
      <c r="D144" s="29">
        <v>21.76</v>
      </c>
      <c r="E144" s="43">
        <f t="shared" si="7"/>
        <v>9.6919930640611052E-2</v>
      </c>
      <c r="F144" s="77">
        <f t="shared" si="8"/>
        <v>-0.43458783642537191</v>
      </c>
    </row>
    <row r="145" spans="1:6" x14ac:dyDescent="0.2">
      <c r="A145" s="38">
        <v>44716</v>
      </c>
      <c r="B145" s="30">
        <v>10262.9</v>
      </c>
      <c r="C145" s="43">
        <f t="shared" si="6"/>
        <v>0.2416218943579225</v>
      </c>
      <c r="D145" s="29">
        <v>18.57</v>
      </c>
      <c r="E145" s="43">
        <f t="shared" si="7"/>
        <v>-0.15852604662312747</v>
      </c>
      <c r="F145" s="77">
        <f t="shared" si="8"/>
        <v>0.40014794098105</v>
      </c>
    </row>
    <row r="146" spans="1:6" x14ac:dyDescent="0.2">
      <c r="A146" s="38">
        <v>44717</v>
      </c>
      <c r="B146" s="30">
        <v>10116.9</v>
      </c>
      <c r="C146" s="43">
        <f t="shared" si="6"/>
        <v>-1.4328158054625822E-2</v>
      </c>
      <c r="D146" s="29">
        <v>20.69</v>
      </c>
      <c r="E146" s="43">
        <f t="shared" si="7"/>
        <v>0.10810311639283723</v>
      </c>
      <c r="F146" s="77">
        <f t="shared" si="8"/>
        <v>-0.12243127444746306</v>
      </c>
    </row>
    <row r="147" spans="1:6" x14ac:dyDescent="0.2">
      <c r="A147" s="38">
        <v>44718</v>
      </c>
      <c r="B147" s="30">
        <v>10720.9</v>
      </c>
      <c r="C147" s="43">
        <f t="shared" si="6"/>
        <v>5.7987814520660215E-2</v>
      </c>
      <c r="D147" s="29">
        <v>18.96</v>
      </c>
      <c r="E147" s="43">
        <f t="shared" si="7"/>
        <v>-8.7318994930575919E-2</v>
      </c>
      <c r="F147" s="77">
        <f t="shared" si="8"/>
        <v>0.14530680945123614</v>
      </c>
    </row>
    <row r="148" spans="1:6" x14ac:dyDescent="0.2">
      <c r="A148" s="38">
        <v>44719</v>
      </c>
      <c r="B148" s="30">
        <v>9566.2000000000007</v>
      </c>
      <c r="C148" s="43">
        <f t="shared" si="6"/>
        <v>-0.11395905492263972</v>
      </c>
      <c r="D148" s="29">
        <v>21.67</v>
      </c>
      <c r="E148" s="43">
        <f t="shared" si="7"/>
        <v>0.13359731872139188</v>
      </c>
      <c r="F148" s="77">
        <f t="shared" si="8"/>
        <v>-0.2475563736440316</v>
      </c>
    </row>
    <row r="149" spans="1:6" x14ac:dyDescent="0.2">
      <c r="A149" s="38">
        <v>44721</v>
      </c>
      <c r="B149" s="30">
        <v>11240.6</v>
      </c>
      <c r="C149" s="43">
        <f t="shared" si="6"/>
        <v>0.16129617140390567</v>
      </c>
      <c r="D149" s="29">
        <v>18.97</v>
      </c>
      <c r="E149" s="43">
        <f t="shared" si="7"/>
        <v>-0.13307003160134503</v>
      </c>
      <c r="F149" s="77">
        <f t="shared" si="8"/>
        <v>0.29436620300525074</v>
      </c>
    </row>
    <row r="150" spans="1:6" x14ac:dyDescent="0.2">
      <c r="A150" s="38">
        <v>44722</v>
      </c>
      <c r="B150" s="30">
        <v>11192.1</v>
      </c>
      <c r="C150" s="43">
        <f t="shared" si="6"/>
        <v>-4.324051546958029E-3</v>
      </c>
      <c r="D150" s="29">
        <v>20.56</v>
      </c>
      <c r="E150" s="43">
        <f t="shared" si="7"/>
        <v>8.0488656640041581E-2</v>
      </c>
      <c r="F150" s="77">
        <f t="shared" si="8"/>
        <v>-8.4812708186999611E-2</v>
      </c>
    </row>
    <row r="151" spans="1:6" x14ac:dyDescent="0.2">
      <c r="A151" s="38">
        <v>44724</v>
      </c>
      <c r="B151" s="30">
        <v>11314.8</v>
      </c>
      <c r="C151" s="43">
        <f t="shared" si="6"/>
        <v>1.0903431000692836E-2</v>
      </c>
      <c r="D151" s="29">
        <v>19.66</v>
      </c>
      <c r="E151" s="43">
        <f t="shared" si="7"/>
        <v>-4.4761325867943819E-2</v>
      </c>
      <c r="F151" s="77">
        <f t="shared" si="8"/>
        <v>5.5664756868636658E-2</v>
      </c>
    </row>
    <row r="152" spans="1:6" x14ac:dyDescent="0.2">
      <c r="A152" s="38">
        <v>44743</v>
      </c>
      <c r="B152" s="30">
        <v>8237.6</v>
      </c>
      <c r="C152" s="43">
        <f t="shared" si="6"/>
        <v>-0.31740256391709076</v>
      </c>
      <c r="D152" s="29">
        <v>18.23</v>
      </c>
      <c r="E152" s="43">
        <f t="shared" si="7"/>
        <v>-7.5517526028448842E-2</v>
      </c>
      <c r="F152" s="77">
        <f t="shared" si="8"/>
        <v>-0.24188503788864191</v>
      </c>
    </row>
    <row r="153" spans="1:6" x14ac:dyDescent="0.2">
      <c r="A153" s="38">
        <v>44744</v>
      </c>
      <c r="B153" s="30">
        <v>8964.1</v>
      </c>
      <c r="C153" s="43">
        <f t="shared" si="6"/>
        <v>8.4518672250099028E-2</v>
      </c>
      <c r="D153" s="29">
        <v>19.899999999999999</v>
      </c>
      <c r="E153" s="43">
        <f t="shared" si="7"/>
        <v>8.765114303987491E-2</v>
      </c>
      <c r="F153" s="77">
        <f t="shared" si="8"/>
        <v>-3.1324707897758819E-3</v>
      </c>
    </row>
    <row r="154" spans="1:6" x14ac:dyDescent="0.2">
      <c r="A154" s="38">
        <v>44745</v>
      </c>
      <c r="B154" s="30">
        <v>10194.200000000001</v>
      </c>
      <c r="C154" s="43">
        <f t="shared" si="6"/>
        <v>0.12859121949884064</v>
      </c>
      <c r="D154" s="29">
        <v>21.5</v>
      </c>
      <c r="E154" s="43">
        <f t="shared" si="7"/>
        <v>7.7333203403170514E-2</v>
      </c>
      <c r="F154" s="77">
        <f t="shared" si="8"/>
        <v>5.1258016095670128E-2</v>
      </c>
    </row>
    <row r="155" spans="1:6" x14ac:dyDescent="0.2">
      <c r="A155" s="38">
        <v>44746</v>
      </c>
      <c r="B155" s="30">
        <v>10129.200000000001</v>
      </c>
      <c r="C155" s="43">
        <f t="shared" si="6"/>
        <v>-6.3965893138062035E-3</v>
      </c>
      <c r="D155" s="29">
        <v>20.87</v>
      </c>
      <c r="E155" s="43">
        <f t="shared" si="7"/>
        <v>-2.9740214044507721E-2</v>
      </c>
      <c r="F155" s="77">
        <f t="shared" si="8"/>
        <v>2.3343624730701517E-2</v>
      </c>
    </row>
    <row r="156" spans="1:6" x14ac:dyDescent="0.2">
      <c r="A156" s="38">
        <v>44748</v>
      </c>
      <c r="B156" s="30">
        <v>10688.8</v>
      </c>
      <c r="C156" s="43">
        <f t="shared" si="6"/>
        <v>5.377412249700958E-2</v>
      </c>
      <c r="D156" s="29">
        <v>19.739999999999998</v>
      </c>
      <c r="E156" s="43">
        <f t="shared" si="7"/>
        <v>-5.5665687083774021E-2</v>
      </c>
      <c r="F156" s="77">
        <f t="shared" si="8"/>
        <v>0.1094398095807836</v>
      </c>
    </row>
    <row r="157" spans="1:6" x14ac:dyDescent="0.2">
      <c r="A157" s="38">
        <v>44749</v>
      </c>
      <c r="B157" s="30">
        <v>9565.9</v>
      </c>
      <c r="C157" s="43">
        <f t="shared" si="6"/>
        <v>-0.11099177277923493</v>
      </c>
      <c r="D157" s="29">
        <v>22.72</v>
      </c>
      <c r="E157" s="43">
        <f t="shared" si="7"/>
        <v>0.14059855984761507</v>
      </c>
      <c r="F157" s="77">
        <f t="shared" si="8"/>
        <v>-0.25159033262684999</v>
      </c>
    </row>
    <row r="158" spans="1:6" x14ac:dyDescent="0.2">
      <c r="A158" s="38">
        <v>44751</v>
      </c>
      <c r="B158" s="30">
        <v>10916.9</v>
      </c>
      <c r="C158" s="43">
        <f t="shared" si="6"/>
        <v>0.13210735571721871</v>
      </c>
      <c r="D158" s="29">
        <v>18.43</v>
      </c>
      <c r="E158" s="43">
        <f t="shared" si="7"/>
        <v>-0.20926582217121867</v>
      </c>
      <c r="F158" s="77">
        <f t="shared" si="8"/>
        <v>0.34137317788843735</v>
      </c>
    </row>
    <row r="159" spans="1:6" x14ac:dyDescent="0.2">
      <c r="A159" s="38">
        <v>44752</v>
      </c>
      <c r="B159" s="30">
        <v>11298</v>
      </c>
      <c r="C159" s="43">
        <f t="shared" si="6"/>
        <v>3.4313671672539299E-2</v>
      </c>
      <c r="D159" s="29">
        <v>18.96</v>
      </c>
      <c r="E159" s="43">
        <f t="shared" si="7"/>
        <v>2.8351725145143915E-2</v>
      </c>
      <c r="F159" s="77">
        <f t="shared" si="8"/>
        <v>5.9619465273953835E-3</v>
      </c>
    </row>
    <row r="160" spans="1:6" x14ac:dyDescent="0.2">
      <c r="A160" s="38">
        <v>44753</v>
      </c>
      <c r="B160" s="30">
        <v>11982.3</v>
      </c>
      <c r="C160" s="43">
        <f t="shared" si="6"/>
        <v>5.8804842001562802E-2</v>
      </c>
      <c r="D160" s="29">
        <v>20.48</v>
      </c>
      <c r="E160" s="43">
        <f t="shared" si="7"/>
        <v>7.7117303344431204E-2</v>
      </c>
      <c r="F160" s="77">
        <f t="shared" si="8"/>
        <v>-1.8312461342868402E-2</v>
      </c>
    </row>
    <row r="161" spans="1:6" x14ac:dyDescent="0.2">
      <c r="A161" s="38">
        <v>44754</v>
      </c>
      <c r="B161" s="30">
        <v>11085.7</v>
      </c>
      <c r="C161" s="43">
        <f t="shared" si="6"/>
        <v>-7.7774571431397474E-2</v>
      </c>
      <c r="D161" s="29">
        <v>18.27</v>
      </c>
      <c r="E161" s="43">
        <f t="shared" si="7"/>
        <v>-0.1141884297813917</v>
      </c>
      <c r="F161" s="77">
        <f t="shared" si="8"/>
        <v>3.6413858349994221E-2</v>
      </c>
    </row>
    <row r="162" spans="1:6" x14ac:dyDescent="0.2">
      <c r="A162" s="38">
        <v>44775</v>
      </c>
      <c r="B162" s="30">
        <v>9019.4</v>
      </c>
      <c r="C162" s="43">
        <f t="shared" si="6"/>
        <v>-0.20627817645818666</v>
      </c>
      <c r="D162" s="29">
        <v>21.27</v>
      </c>
      <c r="E162" s="43">
        <f t="shared" si="7"/>
        <v>0.15203725882223049</v>
      </c>
      <c r="F162" s="77">
        <f t="shared" si="8"/>
        <v>-0.35831543528041715</v>
      </c>
    </row>
    <row r="163" spans="1:6" x14ac:dyDescent="0.2">
      <c r="A163" s="38">
        <v>44776</v>
      </c>
      <c r="B163" s="30">
        <v>9829.7999999999993</v>
      </c>
      <c r="C163" s="43">
        <f t="shared" si="6"/>
        <v>8.6040775057086669E-2</v>
      </c>
      <c r="D163" s="29">
        <v>21.23</v>
      </c>
      <c r="E163" s="43">
        <f t="shared" si="7"/>
        <v>-1.8823534969810917E-3</v>
      </c>
      <c r="F163" s="77">
        <f t="shared" si="8"/>
        <v>8.7923128554067767E-2</v>
      </c>
    </row>
    <row r="164" spans="1:6" x14ac:dyDescent="0.2">
      <c r="A164" s="38">
        <v>44777</v>
      </c>
      <c r="B164" s="30">
        <v>10171.700000000001</v>
      </c>
      <c r="C164" s="43">
        <f t="shared" si="6"/>
        <v>3.4190766327690865E-2</v>
      </c>
      <c r="D164" s="29">
        <v>20.61</v>
      </c>
      <c r="E164" s="43">
        <f t="shared" si="7"/>
        <v>-2.9638880812797069E-2</v>
      </c>
      <c r="F164" s="77">
        <f t="shared" si="8"/>
        <v>6.382964714048793E-2</v>
      </c>
    </row>
    <row r="165" spans="1:6" x14ac:dyDescent="0.2">
      <c r="A165" s="38">
        <v>44779</v>
      </c>
      <c r="B165" s="30">
        <v>11140.9</v>
      </c>
      <c r="C165" s="43">
        <f t="shared" si="6"/>
        <v>9.1013666782119515E-2</v>
      </c>
      <c r="D165" s="29">
        <v>19.989999999999998</v>
      </c>
      <c r="E165" s="43">
        <f t="shared" si="7"/>
        <v>-3.0544246390059065E-2</v>
      </c>
      <c r="F165" s="77">
        <f t="shared" si="8"/>
        <v>0.12155791317217858</v>
      </c>
    </row>
    <row r="166" spans="1:6" x14ac:dyDescent="0.2">
      <c r="A166" s="38">
        <v>44780</v>
      </c>
      <c r="B166" s="30">
        <v>9767.5</v>
      </c>
      <c r="C166" s="43">
        <f t="shared" si="6"/>
        <v>-0.13156247323485745</v>
      </c>
      <c r="D166" s="29">
        <v>22.51</v>
      </c>
      <c r="E166" s="43">
        <f t="shared" si="7"/>
        <v>0.11872750640633233</v>
      </c>
      <c r="F166" s="77">
        <f t="shared" si="8"/>
        <v>-0.25028997964118976</v>
      </c>
    </row>
    <row r="167" spans="1:6" x14ac:dyDescent="0.2">
      <c r="A167" s="38">
        <v>44781</v>
      </c>
      <c r="B167" s="30">
        <v>10112.9</v>
      </c>
      <c r="C167" s="43">
        <f t="shared" si="6"/>
        <v>3.475128866142322E-2</v>
      </c>
      <c r="D167" s="29">
        <v>22.87</v>
      </c>
      <c r="E167" s="43">
        <f t="shared" si="7"/>
        <v>1.5866353116048823E-2</v>
      </c>
      <c r="F167" s="77">
        <f t="shared" si="8"/>
        <v>1.8884935545374397E-2</v>
      </c>
    </row>
    <row r="168" spans="1:6" x14ac:dyDescent="0.2">
      <c r="A168" s="38">
        <v>44782</v>
      </c>
      <c r="B168" s="30">
        <v>10615.5</v>
      </c>
      <c r="C168" s="43">
        <f t="shared" si="6"/>
        <v>4.8503360593300203E-2</v>
      </c>
      <c r="D168" s="29">
        <v>19.420000000000002</v>
      </c>
      <c r="E168" s="43">
        <f t="shared" si="7"/>
        <v>-0.16352254517151082</v>
      </c>
      <c r="F168" s="77">
        <f t="shared" si="8"/>
        <v>0.21202590576481103</v>
      </c>
    </row>
    <row r="169" spans="1:6" x14ac:dyDescent="0.2">
      <c r="A169" s="38">
        <v>44784</v>
      </c>
      <c r="B169" s="30">
        <v>11710.7</v>
      </c>
      <c r="C169" s="43">
        <f t="shared" si="6"/>
        <v>9.8187756588731634E-2</v>
      </c>
      <c r="D169" s="29">
        <v>20.64</v>
      </c>
      <c r="E169" s="43">
        <f t="shared" si="7"/>
        <v>6.0927477750183139E-2</v>
      </c>
      <c r="F169" s="77">
        <f t="shared" si="8"/>
        <v>3.7260278838548495E-2</v>
      </c>
    </row>
    <row r="170" spans="1:6" x14ac:dyDescent="0.2">
      <c r="A170" s="38">
        <v>44785</v>
      </c>
      <c r="B170" s="30">
        <v>10783.4</v>
      </c>
      <c r="C170" s="43">
        <f t="shared" si="6"/>
        <v>-8.2495039150638272E-2</v>
      </c>
      <c r="D170" s="29">
        <v>18.93</v>
      </c>
      <c r="E170" s="43">
        <f t="shared" si="7"/>
        <v>-8.648297539213054E-2</v>
      </c>
      <c r="F170" s="77">
        <f t="shared" si="8"/>
        <v>3.9879362414922681E-3</v>
      </c>
    </row>
    <row r="171" spans="1:6" x14ac:dyDescent="0.2">
      <c r="A171" s="38">
        <v>44806</v>
      </c>
      <c r="B171" s="30">
        <v>8986.5</v>
      </c>
      <c r="C171" s="43">
        <f t="shared" si="6"/>
        <v>-0.18228446342995319</v>
      </c>
      <c r="D171" s="29">
        <v>21.33</v>
      </c>
      <c r="E171" s="43">
        <f t="shared" si="7"/>
        <v>0.11936656726202767</v>
      </c>
      <c r="F171" s="77">
        <f t="shared" si="8"/>
        <v>-0.30165103069198085</v>
      </c>
    </row>
    <row r="172" spans="1:6" x14ac:dyDescent="0.2">
      <c r="A172" s="38">
        <v>44807</v>
      </c>
      <c r="B172" s="30">
        <v>9843.1</v>
      </c>
      <c r="C172" s="43">
        <f t="shared" si="6"/>
        <v>9.1047250889730799E-2</v>
      </c>
      <c r="D172" s="29">
        <v>17.46</v>
      </c>
      <c r="E172" s="43">
        <f t="shared" si="7"/>
        <v>-0.20020198207180293</v>
      </c>
      <c r="F172" s="77">
        <f t="shared" si="8"/>
        <v>0.29124923296153371</v>
      </c>
    </row>
    <row r="173" spans="1:6" x14ac:dyDescent="0.2">
      <c r="A173" s="38">
        <v>44809</v>
      </c>
      <c r="B173" s="30">
        <v>10170.200000000001</v>
      </c>
      <c r="C173" s="43">
        <f t="shared" si="6"/>
        <v>3.2691173450801025E-2</v>
      </c>
      <c r="D173" s="29">
        <v>19.91</v>
      </c>
      <c r="E173" s="43">
        <f t="shared" si="7"/>
        <v>0.13130956766464874</v>
      </c>
      <c r="F173" s="77">
        <f t="shared" si="8"/>
        <v>-9.8618394213847715E-2</v>
      </c>
    </row>
    <row r="174" spans="1:6" x14ac:dyDescent="0.2">
      <c r="A174" s="38">
        <v>44810</v>
      </c>
      <c r="B174" s="30">
        <v>11202.8</v>
      </c>
      <c r="C174" s="43">
        <f t="shared" si="6"/>
        <v>9.6701871505772072E-2</v>
      </c>
      <c r="D174" s="29">
        <v>22.59</v>
      </c>
      <c r="E174" s="43">
        <f t="shared" si="7"/>
        <v>0.12628521240380697</v>
      </c>
      <c r="F174" s="77">
        <f t="shared" si="8"/>
        <v>-2.9583340898034896E-2</v>
      </c>
    </row>
    <row r="175" spans="1:6" x14ac:dyDescent="0.2">
      <c r="A175" s="38">
        <v>44812</v>
      </c>
      <c r="B175" s="30">
        <v>10126.4</v>
      </c>
      <c r="C175" s="43">
        <f t="shared" si="6"/>
        <v>-0.10101787201735239</v>
      </c>
      <c r="D175" s="29">
        <v>22.93</v>
      </c>
      <c r="E175" s="43">
        <f t="shared" si="7"/>
        <v>1.4938766389901232E-2</v>
      </c>
      <c r="F175" s="77">
        <f t="shared" si="8"/>
        <v>-0.11595663840725362</v>
      </c>
    </row>
    <row r="176" spans="1:6" x14ac:dyDescent="0.2">
      <c r="A176" s="38">
        <v>44813</v>
      </c>
      <c r="B176" s="30">
        <v>10727.9</v>
      </c>
      <c r="C176" s="43">
        <f t="shared" si="6"/>
        <v>5.7701949495090249E-2</v>
      </c>
      <c r="D176" s="29">
        <v>19.329999999999998</v>
      </c>
      <c r="E176" s="43">
        <f t="shared" si="7"/>
        <v>-0.17078780364957363</v>
      </c>
      <c r="F176" s="77">
        <f t="shared" si="8"/>
        <v>0.22848975314466388</v>
      </c>
    </row>
    <row r="177" spans="1:6" x14ac:dyDescent="0.2">
      <c r="A177" s="38">
        <v>44815</v>
      </c>
      <c r="B177" s="30">
        <v>11696.9</v>
      </c>
      <c r="C177" s="43">
        <f t="shared" si="6"/>
        <v>8.6476024897381557E-2</v>
      </c>
      <c r="D177" s="29">
        <v>20.58</v>
      </c>
      <c r="E177" s="43">
        <f t="shared" si="7"/>
        <v>6.2661437185664123E-2</v>
      </c>
      <c r="F177" s="77">
        <f t="shared" si="8"/>
        <v>2.3814587711717433E-2</v>
      </c>
    </row>
    <row r="178" spans="1:6" x14ac:dyDescent="0.2">
      <c r="A178" s="38">
        <v>44816</v>
      </c>
      <c r="B178" s="30">
        <v>10762.6</v>
      </c>
      <c r="C178" s="43">
        <f t="shared" si="6"/>
        <v>-8.3246688199205623E-2</v>
      </c>
      <c r="D178" s="29">
        <v>19.57</v>
      </c>
      <c r="E178" s="43">
        <f t="shared" si="7"/>
        <v>-5.0321948997918559E-2</v>
      </c>
      <c r="F178" s="77">
        <f t="shared" si="8"/>
        <v>-3.2924739201287065E-2</v>
      </c>
    </row>
    <row r="179" spans="1:6" x14ac:dyDescent="0.2">
      <c r="A179" s="38">
        <v>44835</v>
      </c>
      <c r="B179" s="30">
        <v>8329.2000000000007</v>
      </c>
      <c r="C179" s="43">
        <f t="shared" si="6"/>
        <v>-0.25630974808076862</v>
      </c>
      <c r="D179" s="29">
        <v>18.45</v>
      </c>
      <c r="E179" s="43">
        <f t="shared" si="7"/>
        <v>-5.8933410921448708E-2</v>
      </c>
      <c r="F179" s="77">
        <f t="shared" si="8"/>
        <v>-0.1973763371593199</v>
      </c>
    </row>
    <row r="180" spans="1:6" x14ac:dyDescent="0.2">
      <c r="A180" s="38">
        <v>44836</v>
      </c>
      <c r="B180" s="30">
        <v>8946.9</v>
      </c>
      <c r="C180" s="43">
        <f t="shared" si="6"/>
        <v>7.1539690420780386E-2</v>
      </c>
      <c r="D180" s="29">
        <v>21.03</v>
      </c>
      <c r="E180" s="43">
        <f t="shared" si="7"/>
        <v>0.13088561922807226</v>
      </c>
      <c r="F180" s="77">
        <f t="shared" si="8"/>
        <v>-5.9345928807291878E-2</v>
      </c>
    </row>
    <row r="181" spans="1:6" x14ac:dyDescent="0.2">
      <c r="A181" s="38">
        <v>44837</v>
      </c>
      <c r="B181" s="30">
        <v>9598.6</v>
      </c>
      <c r="C181" s="43">
        <f t="shared" si="6"/>
        <v>7.0310150933561064E-2</v>
      </c>
      <c r="D181" s="29">
        <v>17.45</v>
      </c>
      <c r="E181" s="43">
        <f t="shared" si="7"/>
        <v>-0.18661034106617236</v>
      </c>
      <c r="F181" s="77">
        <f t="shared" si="8"/>
        <v>0.25692049199973344</v>
      </c>
    </row>
    <row r="182" spans="1:6" x14ac:dyDescent="0.2">
      <c r="A182" s="38">
        <v>44839</v>
      </c>
      <c r="B182" s="30">
        <v>9957.2999999999993</v>
      </c>
      <c r="C182" s="43">
        <f t="shared" si="6"/>
        <v>3.6688696003413852E-2</v>
      </c>
      <c r="D182" s="29">
        <v>19.55</v>
      </c>
      <c r="E182" s="43">
        <f t="shared" si="7"/>
        <v>0.11363563778293859</v>
      </c>
      <c r="F182" s="77">
        <f t="shared" si="8"/>
        <v>-7.6946941779524741E-2</v>
      </c>
    </row>
    <row r="183" spans="1:6" x14ac:dyDescent="0.2">
      <c r="A183" s="38">
        <v>44840</v>
      </c>
      <c r="B183" s="30">
        <v>11018.9</v>
      </c>
      <c r="C183" s="43">
        <f t="shared" si="6"/>
        <v>0.1013060297216157</v>
      </c>
      <c r="D183" s="29">
        <v>23.61</v>
      </c>
      <c r="E183" s="43">
        <f t="shared" si="7"/>
        <v>0.18869506466604674</v>
      </c>
      <c r="F183" s="77">
        <f t="shared" si="8"/>
        <v>-8.7389034944431038E-2</v>
      </c>
    </row>
    <row r="184" spans="1:6" x14ac:dyDescent="0.2">
      <c r="A184" s="38">
        <v>44842</v>
      </c>
      <c r="B184" s="30">
        <v>10098.5</v>
      </c>
      <c r="C184" s="43">
        <f t="shared" si="6"/>
        <v>-8.7225082264466416E-2</v>
      </c>
      <c r="D184" s="29">
        <v>18.350000000000001</v>
      </c>
      <c r="E184" s="43">
        <f t="shared" si="7"/>
        <v>-0.25204077659684215</v>
      </c>
      <c r="F184" s="77">
        <f t="shared" si="8"/>
        <v>0.16481569433237575</v>
      </c>
    </row>
    <row r="185" spans="1:6" x14ac:dyDescent="0.2">
      <c r="A185" s="38">
        <v>44844</v>
      </c>
      <c r="B185" s="30">
        <v>11168.4</v>
      </c>
      <c r="C185" s="43">
        <f t="shared" si="6"/>
        <v>0.10070146403122208</v>
      </c>
      <c r="D185" s="29">
        <v>20.66</v>
      </c>
      <c r="E185" s="43">
        <f t="shared" si="7"/>
        <v>0.11856988919091319</v>
      </c>
      <c r="F185" s="77">
        <f t="shared" si="8"/>
        <v>-1.7868425159691101E-2</v>
      </c>
    </row>
    <row r="186" spans="1:6" x14ac:dyDescent="0.2">
      <c r="A186" s="38">
        <v>44845</v>
      </c>
      <c r="B186" s="30">
        <v>11455.3</v>
      </c>
      <c r="C186" s="43">
        <f t="shared" si="6"/>
        <v>2.5364143001920636E-2</v>
      </c>
      <c r="D186" s="29">
        <v>19.739999999999998</v>
      </c>
      <c r="E186" s="43">
        <f t="shared" si="7"/>
        <v>-4.555242968615706E-2</v>
      </c>
      <c r="F186" s="77">
        <f t="shared" si="8"/>
        <v>7.0916572688077689E-2</v>
      </c>
    </row>
    <row r="187" spans="1:6" x14ac:dyDescent="0.2">
      <c r="A187" s="38">
        <v>44866</v>
      </c>
      <c r="B187" s="30">
        <v>8293.6</v>
      </c>
      <c r="C187" s="43">
        <f t="shared" si="6"/>
        <v>-0.32296837197268324</v>
      </c>
      <c r="D187" s="29">
        <v>17.97</v>
      </c>
      <c r="E187" s="43">
        <f t="shared" si="7"/>
        <v>-9.3943333209867877E-2</v>
      </c>
      <c r="F187" s="77">
        <f t="shared" si="8"/>
        <v>-0.22902503876281538</v>
      </c>
    </row>
    <row r="188" spans="1:6" x14ac:dyDescent="0.2">
      <c r="A188" s="38">
        <v>44867</v>
      </c>
      <c r="B188" s="30">
        <v>8878.7999999999993</v>
      </c>
      <c r="C188" s="43">
        <f t="shared" si="6"/>
        <v>6.81822797106032E-2</v>
      </c>
      <c r="D188" s="29">
        <v>20.71</v>
      </c>
      <c r="E188" s="43">
        <f t="shared" si="7"/>
        <v>0.14191297461202523</v>
      </c>
      <c r="F188" s="77">
        <f t="shared" si="8"/>
        <v>-7.3730694901422034E-2</v>
      </c>
    </row>
    <row r="189" spans="1:6" x14ac:dyDescent="0.2">
      <c r="A189" s="38">
        <v>44868</v>
      </c>
      <c r="B189" s="30">
        <v>9631.4</v>
      </c>
      <c r="C189" s="43">
        <f t="shared" si="6"/>
        <v>8.1362181530043182E-2</v>
      </c>
      <c r="D189" s="29">
        <v>21.01</v>
      </c>
      <c r="E189" s="43">
        <f t="shared" si="7"/>
        <v>1.4381839449416182E-2</v>
      </c>
      <c r="F189" s="77">
        <f t="shared" si="8"/>
        <v>6.6980342080627003E-2</v>
      </c>
    </row>
    <row r="190" spans="1:6" x14ac:dyDescent="0.2">
      <c r="A190" s="38">
        <v>44869</v>
      </c>
      <c r="B190" s="30">
        <v>10147.700000000001</v>
      </c>
      <c r="C190" s="43">
        <f t="shared" si="6"/>
        <v>5.221848455728071E-2</v>
      </c>
      <c r="D190" s="29">
        <v>16.940000000000001</v>
      </c>
      <c r="E190" s="43">
        <f t="shared" si="7"/>
        <v>-0.21532082563300076</v>
      </c>
      <c r="F190" s="77">
        <f t="shared" si="8"/>
        <v>0.26753931019028149</v>
      </c>
    </row>
    <row r="191" spans="1:6" x14ac:dyDescent="0.2">
      <c r="A191" s="38">
        <v>44870</v>
      </c>
      <c r="B191" s="30">
        <v>9945.1</v>
      </c>
      <c r="C191" s="43">
        <f t="shared" si="6"/>
        <v>-2.0167111265138083E-2</v>
      </c>
      <c r="D191" s="29">
        <v>19.45</v>
      </c>
      <c r="E191" s="43">
        <f t="shared" si="7"/>
        <v>0.13816938084054689</v>
      </c>
      <c r="F191" s="77">
        <f t="shared" si="8"/>
        <v>-0.15833649210568498</v>
      </c>
    </row>
    <row r="192" spans="1:6" x14ac:dyDescent="0.2">
      <c r="A192" s="38">
        <v>44872</v>
      </c>
      <c r="B192" s="30">
        <v>9755.9</v>
      </c>
      <c r="C192" s="43">
        <f t="shared" si="6"/>
        <v>-1.9207737360914166E-2</v>
      </c>
      <c r="D192" s="29">
        <v>23.28</v>
      </c>
      <c r="E192" s="43">
        <f t="shared" si="7"/>
        <v>0.1797475527987818</v>
      </c>
      <c r="F192" s="77">
        <f t="shared" si="8"/>
        <v>-0.19895529015969596</v>
      </c>
    </row>
    <row r="193" spans="1:6" x14ac:dyDescent="0.2">
      <c r="A193" s="38">
        <v>44873</v>
      </c>
      <c r="B193" s="30">
        <v>10149.4</v>
      </c>
      <c r="C193" s="43">
        <f t="shared" si="6"/>
        <v>3.9542360241403625E-2</v>
      </c>
      <c r="D193" s="29">
        <v>18.16</v>
      </c>
      <c r="E193" s="43">
        <f t="shared" si="7"/>
        <v>-0.24837324969008984</v>
      </c>
      <c r="F193" s="77">
        <f t="shared" si="8"/>
        <v>0.28791560993149345</v>
      </c>
    </row>
    <row r="194" spans="1:6" x14ac:dyDescent="0.2">
      <c r="A194" s="38">
        <v>44875</v>
      </c>
      <c r="B194" s="30">
        <v>10990.3</v>
      </c>
      <c r="C194" s="43">
        <f t="shared" si="6"/>
        <v>7.959847514613623E-2</v>
      </c>
      <c r="D194" s="29">
        <v>20.45</v>
      </c>
      <c r="E194" s="43">
        <f t="shared" si="7"/>
        <v>0.11876150931566347</v>
      </c>
      <c r="F194" s="77">
        <f t="shared" si="8"/>
        <v>-3.9163034169527239E-2</v>
      </c>
    </row>
    <row r="195" spans="1:6" x14ac:dyDescent="0.2">
      <c r="A195" s="38">
        <v>44876</v>
      </c>
      <c r="B195" s="30">
        <v>11536.8</v>
      </c>
      <c r="C195" s="43">
        <f t="shared" si="6"/>
        <v>4.8528860679543623E-2</v>
      </c>
      <c r="D195" s="29">
        <v>19.79</v>
      </c>
      <c r="E195" s="43">
        <f t="shared" si="7"/>
        <v>-3.2806122874336457E-2</v>
      </c>
      <c r="F195" s="77">
        <f t="shared" si="8"/>
        <v>8.133498355388008E-2</v>
      </c>
    </row>
    <row r="196" spans="1:6" x14ac:dyDescent="0.2">
      <c r="A196" s="38">
        <v>44896</v>
      </c>
      <c r="B196" s="30">
        <v>8544.1</v>
      </c>
      <c r="C196" s="43">
        <f t="shared" si="6"/>
        <v>-0.30030093999652696</v>
      </c>
      <c r="D196" s="29">
        <v>20.77</v>
      </c>
      <c r="E196" s="43">
        <f t="shared" si="7"/>
        <v>4.8332878273546709E-2</v>
      </c>
      <c r="F196" s="77">
        <f t="shared" si="8"/>
        <v>-0.34863381827007367</v>
      </c>
    </row>
    <row r="197" spans="1:6" x14ac:dyDescent="0.2">
      <c r="A197" s="38">
        <v>44899</v>
      </c>
      <c r="B197" s="30">
        <v>10085.6</v>
      </c>
      <c r="C197" s="43">
        <f t="shared" ref="C197:C260" si="9">LN(B197/B196)</f>
        <v>0.16586767766572597</v>
      </c>
      <c r="D197" s="29">
        <v>16.82</v>
      </c>
      <c r="E197" s="43">
        <f t="shared" ref="E197:E260" si="10">LN(D197/D196)</f>
        <v>-0.21094098334321884</v>
      </c>
      <c r="F197" s="77">
        <f t="shared" ref="F197:F260" si="11">C197-E197</f>
        <v>0.37680866100894483</v>
      </c>
    </row>
    <row r="198" spans="1:6" x14ac:dyDescent="0.2">
      <c r="A198" s="38">
        <v>44900</v>
      </c>
      <c r="B198" s="30">
        <v>9719.7000000000007</v>
      </c>
      <c r="C198" s="43">
        <f t="shared" si="9"/>
        <v>-3.6953910136414893E-2</v>
      </c>
      <c r="D198" s="29">
        <v>19.100000000000001</v>
      </c>
      <c r="E198" s="43">
        <f t="shared" si="10"/>
        <v>0.12711968050778216</v>
      </c>
      <c r="F198" s="77">
        <f t="shared" si="11"/>
        <v>-0.16407359064419705</v>
      </c>
    </row>
    <row r="199" spans="1:6" x14ac:dyDescent="0.2">
      <c r="A199" s="38">
        <v>44902</v>
      </c>
      <c r="B199" s="30">
        <v>9772.1</v>
      </c>
      <c r="C199" s="43">
        <f t="shared" si="9"/>
        <v>5.3766328643151257E-3</v>
      </c>
      <c r="D199" s="29">
        <v>23.55</v>
      </c>
      <c r="E199" s="43">
        <f t="shared" si="10"/>
        <v>0.20943748540984247</v>
      </c>
      <c r="F199" s="77">
        <f t="shared" si="11"/>
        <v>-0.20406085254552736</v>
      </c>
    </row>
    <row r="200" spans="1:6" x14ac:dyDescent="0.2">
      <c r="A200" s="38">
        <v>44903</v>
      </c>
      <c r="B200" s="30">
        <v>10383.799999999999</v>
      </c>
      <c r="C200" s="43">
        <f t="shared" si="9"/>
        <v>6.0715512712810969E-2</v>
      </c>
      <c r="D200" s="29">
        <v>23.09</v>
      </c>
      <c r="E200" s="43">
        <f t="shared" si="10"/>
        <v>-1.9726197096022764E-2</v>
      </c>
      <c r="F200" s="77">
        <f t="shared" si="11"/>
        <v>8.0441709808833736E-2</v>
      </c>
    </row>
    <row r="201" spans="1:6" x14ac:dyDescent="0.2">
      <c r="A201" s="38">
        <v>44904</v>
      </c>
      <c r="B201" s="30">
        <v>10740.7</v>
      </c>
      <c r="C201" s="43">
        <f t="shared" si="9"/>
        <v>3.3793364489914705E-2</v>
      </c>
      <c r="D201" s="29">
        <v>17.7</v>
      </c>
      <c r="E201" s="43">
        <f t="shared" si="10"/>
        <v>-0.26583498378662063</v>
      </c>
      <c r="F201" s="77">
        <f t="shared" si="11"/>
        <v>0.29962834827653534</v>
      </c>
    </row>
    <row r="202" spans="1:6" x14ac:dyDescent="0.2">
      <c r="A202" s="38">
        <v>44905</v>
      </c>
      <c r="B202" s="30">
        <v>10829.2</v>
      </c>
      <c r="C202" s="43">
        <f t="shared" si="9"/>
        <v>8.2059255361772148E-3</v>
      </c>
      <c r="D202" s="29">
        <v>20.77</v>
      </c>
      <c r="E202" s="43">
        <f t="shared" si="10"/>
        <v>0.15994499830823744</v>
      </c>
      <c r="F202" s="77">
        <f t="shared" si="11"/>
        <v>-0.15173907277206022</v>
      </c>
    </row>
    <row r="203" spans="1:6" x14ac:dyDescent="0.2">
      <c r="A203" s="38">
        <v>44907</v>
      </c>
      <c r="B203" s="30">
        <v>10893.8</v>
      </c>
      <c r="C203" s="43">
        <f t="shared" si="9"/>
        <v>5.9476306616572574E-3</v>
      </c>
      <c r="D203" s="29">
        <v>20.95</v>
      </c>
      <c r="E203" s="43">
        <f t="shared" si="10"/>
        <v>8.6290084801258753E-3</v>
      </c>
      <c r="F203" s="77">
        <f t="shared" si="11"/>
        <v>-2.6813778184686179E-3</v>
      </c>
    </row>
    <row r="204" spans="1:6" x14ac:dyDescent="0.2">
      <c r="A204" s="38">
        <v>44928</v>
      </c>
      <c r="B204" s="30">
        <v>11049.1</v>
      </c>
      <c r="C204" s="43">
        <f t="shared" si="9"/>
        <v>1.4155156619512129E-2</v>
      </c>
      <c r="D204" s="29">
        <v>19.48</v>
      </c>
      <c r="E204" s="43">
        <f t="shared" si="10"/>
        <v>-7.2750348153757666E-2</v>
      </c>
      <c r="F204" s="77">
        <f t="shared" si="11"/>
        <v>8.690550477326979E-2</v>
      </c>
    </row>
    <row r="205" spans="1:6" x14ac:dyDescent="0.2">
      <c r="A205" s="38">
        <v>44929</v>
      </c>
      <c r="B205" s="30">
        <v>11165.8</v>
      </c>
      <c r="C205" s="43">
        <f t="shared" si="9"/>
        <v>1.0506558527754463E-2</v>
      </c>
      <c r="D205" s="29">
        <v>18.52</v>
      </c>
      <c r="E205" s="43">
        <f t="shared" si="10"/>
        <v>-5.0537068996355787E-2</v>
      </c>
      <c r="F205" s="77">
        <f t="shared" si="11"/>
        <v>6.1043627524110251E-2</v>
      </c>
    </row>
    <row r="206" spans="1:6" x14ac:dyDescent="0.2">
      <c r="A206" s="38">
        <v>44931</v>
      </c>
      <c r="B206" s="30">
        <v>10722.5</v>
      </c>
      <c r="C206" s="43">
        <f t="shared" si="9"/>
        <v>-4.0511197801751483E-2</v>
      </c>
      <c r="D206" s="29">
        <v>18.670000000000002</v>
      </c>
      <c r="E206" s="43">
        <f t="shared" si="10"/>
        <v>8.0667283355980515E-3</v>
      </c>
      <c r="F206" s="77">
        <f t="shared" si="11"/>
        <v>-4.8577926137349535E-2</v>
      </c>
    </row>
    <row r="207" spans="1:6" x14ac:dyDescent="0.2">
      <c r="A207" s="38">
        <v>44932</v>
      </c>
      <c r="B207" s="30">
        <v>10674.8</v>
      </c>
      <c r="C207" s="43">
        <f t="shared" si="9"/>
        <v>-4.4585138327170853E-3</v>
      </c>
      <c r="D207" s="29">
        <v>18.02</v>
      </c>
      <c r="E207" s="43">
        <f t="shared" si="10"/>
        <v>-3.543570537343952E-2</v>
      </c>
      <c r="F207" s="77">
        <f t="shared" si="11"/>
        <v>3.0977191540722433E-2</v>
      </c>
    </row>
    <row r="208" spans="1:6" x14ac:dyDescent="0.2">
      <c r="A208" s="38">
        <v>44934</v>
      </c>
      <c r="B208" s="30">
        <v>11865.2</v>
      </c>
      <c r="C208" s="43">
        <f t="shared" si="9"/>
        <v>0.10572392246952174</v>
      </c>
      <c r="D208" s="29">
        <v>16.07</v>
      </c>
      <c r="E208" s="43">
        <f t="shared" si="10"/>
        <v>-0.11452807243077054</v>
      </c>
      <c r="F208" s="77">
        <f t="shared" si="11"/>
        <v>0.22025199490029229</v>
      </c>
    </row>
    <row r="209" spans="1:6" x14ac:dyDescent="0.2">
      <c r="A209" s="38">
        <v>44935</v>
      </c>
      <c r="B209" s="30">
        <v>11729.4</v>
      </c>
      <c r="C209" s="43">
        <f t="shared" si="9"/>
        <v>-1.1511235583711471E-2</v>
      </c>
      <c r="D209" s="29">
        <v>12.87</v>
      </c>
      <c r="E209" s="43">
        <f t="shared" si="10"/>
        <v>-0.22205515814138596</v>
      </c>
      <c r="F209" s="77">
        <f t="shared" si="11"/>
        <v>0.21054392255767448</v>
      </c>
    </row>
    <row r="210" spans="1:6" x14ac:dyDescent="0.2">
      <c r="A210" s="38">
        <v>44937</v>
      </c>
      <c r="B210" s="30">
        <v>11218.3</v>
      </c>
      <c r="C210" s="43">
        <f t="shared" si="9"/>
        <v>-4.4552136998536856E-2</v>
      </c>
      <c r="D210" s="29">
        <v>14.59</v>
      </c>
      <c r="E210" s="43">
        <f t="shared" si="10"/>
        <v>0.12543734092665898</v>
      </c>
      <c r="F210" s="77">
        <f t="shared" si="11"/>
        <v>-0.16998947792519584</v>
      </c>
    </row>
    <row r="211" spans="1:6" x14ac:dyDescent="0.2">
      <c r="A211" s="38">
        <v>44938</v>
      </c>
      <c r="B211" s="30">
        <v>10282.9</v>
      </c>
      <c r="C211" s="43">
        <f t="shared" si="9"/>
        <v>-8.7064052052173241E-2</v>
      </c>
      <c r="D211" s="29">
        <v>20.82</v>
      </c>
      <c r="E211" s="43">
        <f t="shared" si="10"/>
        <v>0.35557770065212863</v>
      </c>
      <c r="F211" s="77">
        <f t="shared" si="11"/>
        <v>-0.44264175270430184</v>
      </c>
    </row>
    <row r="212" spans="1:6" x14ac:dyDescent="0.2">
      <c r="A212" s="38">
        <v>44959</v>
      </c>
      <c r="B212" s="30">
        <v>10951.3</v>
      </c>
      <c r="C212" s="43">
        <f t="shared" si="9"/>
        <v>6.2975849265580516E-2</v>
      </c>
      <c r="D212" s="29">
        <v>19.38</v>
      </c>
      <c r="E212" s="43">
        <f t="shared" si="10"/>
        <v>-7.1672456724202763E-2</v>
      </c>
      <c r="F212" s="77">
        <f t="shared" si="11"/>
        <v>0.13464830598978328</v>
      </c>
    </row>
    <row r="213" spans="1:6" x14ac:dyDescent="0.2">
      <c r="A213" s="38">
        <v>44960</v>
      </c>
      <c r="B213" s="30">
        <v>11326.9</v>
      </c>
      <c r="C213" s="43">
        <f t="shared" si="9"/>
        <v>3.3722257039778721E-2</v>
      </c>
      <c r="D213" s="29">
        <v>18.18</v>
      </c>
      <c r="E213" s="43">
        <f t="shared" si="10"/>
        <v>-6.3919517713287327E-2</v>
      </c>
      <c r="F213" s="77">
        <f t="shared" si="11"/>
        <v>9.7641774753066041E-2</v>
      </c>
    </row>
    <row r="214" spans="1:6" x14ac:dyDescent="0.2">
      <c r="A214" s="38">
        <v>44962</v>
      </c>
      <c r="B214" s="30">
        <v>10558.9</v>
      </c>
      <c r="C214" s="43">
        <f t="shared" si="9"/>
        <v>-7.0211321530916068E-2</v>
      </c>
      <c r="D214" s="29">
        <v>18.77</v>
      </c>
      <c r="E214" s="43">
        <f t="shared" si="10"/>
        <v>3.1937761849084749E-2</v>
      </c>
      <c r="F214" s="77">
        <f t="shared" si="11"/>
        <v>-0.10214908338000081</v>
      </c>
    </row>
    <row r="215" spans="1:6" x14ac:dyDescent="0.2">
      <c r="A215" s="38">
        <v>44963</v>
      </c>
      <c r="B215" s="30">
        <v>10806.2</v>
      </c>
      <c r="C215" s="43">
        <f t="shared" si="9"/>
        <v>2.3150937301039193E-2</v>
      </c>
      <c r="D215" s="29">
        <v>17.28</v>
      </c>
      <c r="E215" s="43">
        <f t="shared" si="10"/>
        <v>-8.2710087222507778E-2</v>
      </c>
      <c r="F215" s="77">
        <f t="shared" si="11"/>
        <v>0.10586102452354697</v>
      </c>
    </row>
    <row r="216" spans="1:6" x14ac:dyDescent="0.2">
      <c r="A216" s="38">
        <v>44965</v>
      </c>
      <c r="B216" s="30">
        <v>11745.5</v>
      </c>
      <c r="C216" s="43">
        <f t="shared" si="9"/>
        <v>8.3350145024918942E-2</v>
      </c>
      <c r="D216" s="29">
        <v>14.06</v>
      </c>
      <c r="E216" s="43">
        <f t="shared" si="10"/>
        <v>-0.20621587699339081</v>
      </c>
      <c r="F216" s="77">
        <f t="shared" si="11"/>
        <v>0.28956602201830972</v>
      </c>
    </row>
    <row r="217" spans="1:6" x14ac:dyDescent="0.2">
      <c r="A217" s="38">
        <v>44967</v>
      </c>
      <c r="B217" s="30">
        <v>11658</v>
      </c>
      <c r="C217" s="43">
        <f t="shared" si="9"/>
        <v>-7.4775488883248396E-3</v>
      </c>
      <c r="D217" s="29">
        <v>13.32</v>
      </c>
      <c r="E217" s="43">
        <f t="shared" si="10"/>
        <v>-5.4067221270275821E-2</v>
      </c>
      <c r="F217" s="77">
        <f t="shared" si="11"/>
        <v>4.6589672381950983E-2</v>
      </c>
    </row>
    <row r="218" spans="1:6" x14ac:dyDescent="0.2">
      <c r="A218" s="38">
        <v>44968</v>
      </c>
      <c r="B218" s="30">
        <v>10989.2</v>
      </c>
      <c r="C218" s="43">
        <f t="shared" si="9"/>
        <v>-5.9079667305989222E-2</v>
      </c>
      <c r="D218" s="29">
        <v>19.63</v>
      </c>
      <c r="E218" s="43">
        <f t="shared" si="10"/>
        <v>0.38779234317612649</v>
      </c>
      <c r="F218" s="77">
        <f t="shared" si="11"/>
        <v>-0.44687201048211572</v>
      </c>
    </row>
    <row r="219" spans="1:6" x14ac:dyDescent="0.2">
      <c r="A219" s="38">
        <v>44986</v>
      </c>
      <c r="B219" s="30">
        <v>10890.6</v>
      </c>
      <c r="C219" s="43">
        <f t="shared" si="9"/>
        <v>-9.0129404715187482E-3</v>
      </c>
      <c r="D219" s="29">
        <v>20.28</v>
      </c>
      <c r="E219" s="43">
        <f t="shared" si="10"/>
        <v>3.2576170434612882E-2</v>
      </c>
      <c r="F219" s="77">
        <f t="shared" si="11"/>
        <v>-4.1589110906131627E-2</v>
      </c>
    </row>
    <row r="220" spans="1:6" x14ac:dyDescent="0.2">
      <c r="A220" s="38">
        <v>44987</v>
      </c>
      <c r="B220" s="30">
        <v>11007.1</v>
      </c>
      <c r="C220" s="43">
        <f t="shared" si="9"/>
        <v>1.0640487281781219E-2</v>
      </c>
      <c r="D220" s="29">
        <v>19.78</v>
      </c>
      <c r="E220" s="43">
        <f t="shared" si="10"/>
        <v>-2.4963852528416375E-2</v>
      </c>
      <c r="F220" s="77">
        <f t="shared" si="11"/>
        <v>3.5604339810197595E-2</v>
      </c>
    </row>
    <row r="221" spans="1:6" x14ac:dyDescent="0.2">
      <c r="A221" s="38">
        <v>44988</v>
      </c>
      <c r="B221" s="30">
        <v>11359.1</v>
      </c>
      <c r="C221" s="43">
        <f t="shared" si="9"/>
        <v>3.1478665674767446E-2</v>
      </c>
      <c r="D221" s="29">
        <v>19.559999999999999</v>
      </c>
      <c r="E221" s="43">
        <f t="shared" si="10"/>
        <v>-1.1184661587894931E-2</v>
      </c>
      <c r="F221" s="77">
        <f t="shared" si="11"/>
        <v>4.2663327262662379E-2</v>
      </c>
    </row>
    <row r="222" spans="1:6" x14ac:dyDescent="0.2">
      <c r="A222" s="38">
        <v>44989</v>
      </c>
      <c r="B222" s="30">
        <v>10691.1</v>
      </c>
      <c r="C222" s="43">
        <f t="shared" si="9"/>
        <v>-6.0607565152822312E-2</v>
      </c>
      <c r="D222" s="29">
        <v>18.16</v>
      </c>
      <c r="E222" s="43">
        <f t="shared" si="10"/>
        <v>-7.4265291433523992E-2</v>
      </c>
      <c r="F222" s="77">
        <f t="shared" si="11"/>
        <v>1.3657726280701679E-2</v>
      </c>
    </row>
    <row r="223" spans="1:6" x14ac:dyDescent="0.2">
      <c r="A223" s="38">
        <v>44990</v>
      </c>
      <c r="B223" s="30">
        <v>10333.6</v>
      </c>
      <c r="C223" s="43">
        <f t="shared" si="9"/>
        <v>-3.4010897713907542E-2</v>
      </c>
      <c r="D223" s="29">
        <v>18.399999999999999</v>
      </c>
      <c r="E223" s="43">
        <f t="shared" si="10"/>
        <v>1.3129291441792581E-2</v>
      </c>
      <c r="F223" s="77">
        <f t="shared" si="11"/>
        <v>-4.7140189155700125E-2</v>
      </c>
    </row>
    <row r="224" spans="1:6" x14ac:dyDescent="0.2">
      <c r="A224" s="38">
        <v>44992</v>
      </c>
      <c r="B224" s="30">
        <v>10917.8</v>
      </c>
      <c r="C224" s="43">
        <f t="shared" si="9"/>
        <v>5.4993762882785083E-2</v>
      </c>
      <c r="D224" s="29">
        <v>17.23</v>
      </c>
      <c r="E224" s="43">
        <f t="shared" si="10"/>
        <v>-6.5698614075101622E-2</v>
      </c>
      <c r="F224" s="77">
        <f t="shared" si="11"/>
        <v>0.1206923769578867</v>
      </c>
    </row>
    <row r="225" spans="1:6" x14ac:dyDescent="0.2">
      <c r="A225" s="38">
        <v>44993</v>
      </c>
      <c r="B225" s="30">
        <v>11652.9</v>
      </c>
      <c r="C225" s="43">
        <f t="shared" si="9"/>
        <v>6.5160591254687511E-2</v>
      </c>
      <c r="D225" s="29">
        <v>13.67</v>
      </c>
      <c r="E225" s="43">
        <f t="shared" si="10"/>
        <v>-0.23144839980398008</v>
      </c>
      <c r="F225" s="77">
        <f t="shared" si="11"/>
        <v>0.29660899105866756</v>
      </c>
    </row>
    <row r="226" spans="1:6" x14ac:dyDescent="0.2">
      <c r="A226" s="38">
        <v>44995</v>
      </c>
      <c r="B226" s="30">
        <v>11227.9</v>
      </c>
      <c r="C226" s="43">
        <f t="shared" si="9"/>
        <v>-3.7153323918831173E-2</v>
      </c>
      <c r="D226" s="29">
        <v>13.67</v>
      </c>
      <c r="E226" s="43">
        <f t="shared" si="10"/>
        <v>0</v>
      </c>
      <c r="F226" s="77">
        <f t="shared" si="11"/>
        <v>-3.7153323918831173E-2</v>
      </c>
    </row>
    <row r="227" spans="1:6" x14ac:dyDescent="0.2">
      <c r="A227" s="38">
        <v>44996</v>
      </c>
      <c r="B227" s="30">
        <v>10980.5</v>
      </c>
      <c r="C227" s="43">
        <f t="shared" si="9"/>
        <v>-2.2280779769099607E-2</v>
      </c>
      <c r="D227" s="29">
        <v>19.79</v>
      </c>
      <c r="E227" s="43">
        <f t="shared" si="10"/>
        <v>0.36997310887861617</v>
      </c>
      <c r="F227" s="77">
        <f t="shared" si="11"/>
        <v>-0.39225388864771576</v>
      </c>
    </row>
    <row r="228" spans="1:6" x14ac:dyDescent="0.2">
      <c r="A228" s="38">
        <v>45017</v>
      </c>
      <c r="B228" s="30">
        <v>10747</v>
      </c>
      <c r="C228" s="43">
        <f t="shared" si="9"/>
        <v>-2.1494326526194481E-2</v>
      </c>
      <c r="D228" s="29">
        <v>19.46</v>
      </c>
      <c r="E228" s="43">
        <f t="shared" si="10"/>
        <v>-1.6815682856615298E-2</v>
      </c>
      <c r="F228" s="77">
        <f t="shared" si="11"/>
        <v>-4.6786436695791835E-3</v>
      </c>
    </row>
    <row r="229" spans="1:6" x14ac:dyDescent="0.2">
      <c r="A229" s="38">
        <v>45020</v>
      </c>
      <c r="B229" s="30">
        <v>10831.6</v>
      </c>
      <c r="C229" s="43">
        <f t="shared" si="9"/>
        <v>7.8411420072003364E-3</v>
      </c>
      <c r="D229" s="29">
        <v>18.28</v>
      </c>
      <c r="E229" s="43">
        <f t="shared" si="10"/>
        <v>-6.2553510731855097E-2</v>
      </c>
      <c r="F229" s="77">
        <f t="shared" si="11"/>
        <v>7.039465273905543E-2</v>
      </c>
    </row>
    <row r="230" spans="1:6" x14ac:dyDescent="0.2">
      <c r="A230" s="38">
        <v>45021</v>
      </c>
      <c r="B230" s="30">
        <v>10432.799999999999</v>
      </c>
      <c r="C230" s="43">
        <f t="shared" si="9"/>
        <v>-3.7513098505661736E-2</v>
      </c>
      <c r="D230" s="29">
        <v>17.100000000000001</v>
      </c>
      <c r="E230" s="43">
        <f t="shared" si="10"/>
        <v>-6.6729102517389824E-2</v>
      </c>
      <c r="F230" s="77">
        <f t="shared" si="11"/>
        <v>2.9216004011728088E-2</v>
      </c>
    </row>
    <row r="231" spans="1:6" x14ac:dyDescent="0.2">
      <c r="A231" s="38">
        <v>45023</v>
      </c>
      <c r="B231" s="30">
        <v>11044.2</v>
      </c>
      <c r="C231" s="43">
        <f t="shared" si="9"/>
        <v>5.6950713924039525E-2</v>
      </c>
      <c r="D231" s="29">
        <v>13.75</v>
      </c>
      <c r="E231" s="43">
        <f t="shared" si="10"/>
        <v>-0.21803963939603388</v>
      </c>
      <c r="F231" s="77">
        <f t="shared" si="11"/>
        <v>0.27499035332007338</v>
      </c>
    </row>
    <row r="232" spans="1:6" x14ac:dyDescent="0.2">
      <c r="A232" s="38">
        <v>45024</v>
      </c>
      <c r="B232" s="30">
        <v>11780.3</v>
      </c>
      <c r="C232" s="43">
        <f t="shared" si="9"/>
        <v>6.452324150760938E-2</v>
      </c>
      <c r="D232" s="29">
        <v>14.54</v>
      </c>
      <c r="E232" s="43">
        <f t="shared" si="10"/>
        <v>5.5864647992792976E-2</v>
      </c>
      <c r="F232" s="77">
        <f t="shared" si="11"/>
        <v>8.6585935148164039E-3</v>
      </c>
    </row>
    <row r="233" spans="1:6" x14ac:dyDescent="0.2">
      <c r="A233" s="38">
        <v>45025</v>
      </c>
      <c r="B233" s="30">
        <v>11916.1</v>
      </c>
      <c r="C233" s="43">
        <f t="shared" si="9"/>
        <v>1.1461782101497262E-2</v>
      </c>
      <c r="D233" s="29">
        <v>19.38</v>
      </c>
      <c r="E233" s="43">
        <f t="shared" si="10"/>
        <v>0.28733813435724687</v>
      </c>
      <c r="F233" s="77">
        <f t="shared" si="11"/>
        <v>-0.27587635225574958</v>
      </c>
    </row>
    <row r="234" spans="1:6" x14ac:dyDescent="0.2">
      <c r="A234" s="38">
        <v>45026</v>
      </c>
      <c r="B234" s="30">
        <v>11108.7</v>
      </c>
      <c r="C234" s="43">
        <f t="shared" si="9"/>
        <v>-7.0161841789735724E-2</v>
      </c>
      <c r="D234" s="29">
        <v>19.18</v>
      </c>
      <c r="E234" s="43">
        <f t="shared" si="10"/>
        <v>-1.0373537007327944E-2</v>
      </c>
      <c r="F234" s="77">
        <f t="shared" si="11"/>
        <v>-5.9788304782407778E-2</v>
      </c>
    </row>
    <row r="235" spans="1:6" x14ac:dyDescent="0.2">
      <c r="A235" s="38">
        <v>45028</v>
      </c>
      <c r="B235" s="30">
        <v>10153.299999999999</v>
      </c>
      <c r="C235" s="43">
        <f t="shared" si="9"/>
        <v>-8.992980930453906E-2</v>
      </c>
      <c r="D235" s="29">
        <v>18.63</v>
      </c>
      <c r="E235" s="43">
        <f t="shared" si="10"/>
        <v>-2.9094884841795093E-2</v>
      </c>
      <c r="F235" s="77">
        <f t="shared" si="11"/>
        <v>-6.0834924462743967E-2</v>
      </c>
    </row>
    <row r="236" spans="1:6" x14ac:dyDescent="0.2">
      <c r="A236" s="38">
        <v>45047</v>
      </c>
      <c r="B236" s="30">
        <v>10606.4</v>
      </c>
      <c r="C236" s="43">
        <f t="shared" si="9"/>
        <v>4.3658816705563645E-2</v>
      </c>
      <c r="D236" s="29">
        <v>18.7</v>
      </c>
      <c r="E236" s="43">
        <f t="shared" si="10"/>
        <v>3.7503392470438685E-3</v>
      </c>
      <c r="F236" s="77">
        <f t="shared" si="11"/>
        <v>3.9908477458519775E-2</v>
      </c>
    </row>
    <row r="237" spans="1:6" x14ac:dyDescent="0.2">
      <c r="A237" s="38">
        <v>45050</v>
      </c>
      <c r="B237" s="30">
        <v>10762.5</v>
      </c>
      <c r="C237" s="43">
        <f t="shared" si="9"/>
        <v>1.4610277248859251E-2</v>
      </c>
      <c r="D237" s="29">
        <v>18.11</v>
      </c>
      <c r="E237" s="43">
        <f t="shared" si="10"/>
        <v>-3.2059251965218874E-2</v>
      </c>
      <c r="F237" s="77">
        <f t="shared" si="11"/>
        <v>4.6669529214078125E-2</v>
      </c>
    </row>
    <row r="238" spans="1:6" x14ac:dyDescent="0.2">
      <c r="A238" s="38">
        <v>45051</v>
      </c>
      <c r="B238" s="30">
        <v>10466</v>
      </c>
      <c r="C238" s="43">
        <f t="shared" si="9"/>
        <v>-2.7935961803833072E-2</v>
      </c>
      <c r="D238" s="29">
        <v>15.82</v>
      </c>
      <c r="E238" s="43">
        <f t="shared" si="10"/>
        <v>-0.1351893095558141</v>
      </c>
      <c r="F238" s="77">
        <f t="shared" si="11"/>
        <v>0.10725334775198103</v>
      </c>
    </row>
    <row r="239" spans="1:6" x14ac:dyDescent="0.2">
      <c r="A239" s="38">
        <v>45052</v>
      </c>
      <c r="B239" s="30">
        <v>10882.4</v>
      </c>
      <c r="C239" s="43">
        <f t="shared" si="9"/>
        <v>3.9014897387067038E-2</v>
      </c>
      <c r="D239" s="29">
        <v>13.61</v>
      </c>
      <c r="E239" s="43">
        <f t="shared" si="10"/>
        <v>-0.1504701456761332</v>
      </c>
      <c r="F239" s="77">
        <f t="shared" si="11"/>
        <v>0.18948504306320024</v>
      </c>
    </row>
    <row r="240" spans="1:6" x14ac:dyDescent="0.2">
      <c r="A240" s="38">
        <v>45053</v>
      </c>
      <c r="B240" s="30">
        <v>10983.9</v>
      </c>
      <c r="C240" s="43">
        <f t="shared" si="9"/>
        <v>9.2837589356507058E-3</v>
      </c>
      <c r="D240" s="29">
        <v>14.39</v>
      </c>
      <c r="E240" s="43">
        <f t="shared" si="10"/>
        <v>5.5728704235901816E-2</v>
      </c>
      <c r="F240" s="77">
        <f t="shared" si="11"/>
        <v>-4.644494530025111E-2</v>
      </c>
    </row>
    <row r="241" spans="1:6" x14ac:dyDescent="0.2">
      <c r="A241" s="38">
        <v>45055</v>
      </c>
      <c r="B241" s="30">
        <v>11844</v>
      </c>
      <c r="C241" s="43">
        <f t="shared" si="9"/>
        <v>7.539084596661097E-2</v>
      </c>
      <c r="D241" s="29">
        <v>19.88</v>
      </c>
      <c r="E241" s="43">
        <f t="shared" si="10"/>
        <v>0.32318068032915148</v>
      </c>
      <c r="F241" s="77">
        <f t="shared" si="11"/>
        <v>-0.24778983436254051</v>
      </c>
    </row>
    <row r="242" spans="1:6" x14ac:dyDescent="0.2">
      <c r="A242" s="38">
        <v>45056</v>
      </c>
      <c r="B242" s="30">
        <v>11010.3</v>
      </c>
      <c r="C242" s="43">
        <f t="shared" si="9"/>
        <v>-7.299021191957189E-2</v>
      </c>
      <c r="D242" s="29">
        <v>20.22</v>
      </c>
      <c r="E242" s="43">
        <f t="shared" si="10"/>
        <v>1.6958012363897327E-2</v>
      </c>
      <c r="F242" s="77">
        <f t="shared" si="11"/>
        <v>-8.9948224283469214E-2</v>
      </c>
    </row>
    <row r="243" spans="1:6" x14ac:dyDescent="0.2">
      <c r="A243" s="38">
        <v>45058</v>
      </c>
      <c r="B243" s="30">
        <v>9944.9</v>
      </c>
      <c r="C243" s="43">
        <f t="shared" si="9"/>
        <v>-0.1017713413685654</v>
      </c>
      <c r="D243" s="29">
        <v>19.95</v>
      </c>
      <c r="E243" s="43">
        <f t="shared" si="10"/>
        <v>-1.3443070256452855E-2</v>
      </c>
      <c r="F243" s="77">
        <f t="shared" si="11"/>
        <v>-8.8328271112112541E-2</v>
      </c>
    </row>
    <row r="244" spans="1:6" x14ac:dyDescent="0.2">
      <c r="A244" s="38">
        <v>45078</v>
      </c>
      <c r="B244" s="30">
        <v>10775.2</v>
      </c>
      <c r="C244" s="43">
        <f t="shared" si="9"/>
        <v>8.0187340351260392E-2</v>
      </c>
      <c r="D244" s="29">
        <v>19.22</v>
      </c>
      <c r="E244" s="43">
        <f t="shared" si="10"/>
        <v>-3.727773979372602E-2</v>
      </c>
      <c r="F244" s="77">
        <f t="shared" si="11"/>
        <v>0.11746508014498641</v>
      </c>
    </row>
    <row r="245" spans="1:6" x14ac:dyDescent="0.2">
      <c r="A245" s="38">
        <v>45079</v>
      </c>
      <c r="B245" s="30">
        <v>11108.4</v>
      </c>
      <c r="C245" s="43">
        <f t="shared" si="9"/>
        <v>3.0454381576560746E-2</v>
      </c>
      <c r="D245" s="29">
        <v>18.71</v>
      </c>
      <c r="E245" s="43">
        <f t="shared" si="10"/>
        <v>-2.6893263256148069E-2</v>
      </c>
      <c r="F245" s="77">
        <f t="shared" si="11"/>
        <v>5.7347644832708815E-2</v>
      </c>
    </row>
    <row r="246" spans="1:6" x14ac:dyDescent="0.2">
      <c r="A246" s="38">
        <v>45080</v>
      </c>
      <c r="B246" s="30">
        <v>11229.5</v>
      </c>
      <c r="C246" s="43">
        <f t="shared" si="9"/>
        <v>1.0842665282611613E-2</v>
      </c>
      <c r="D246" s="29">
        <v>17.7</v>
      </c>
      <c r="E246" s="43">
        <f t="shared" si="10"/>
        <v>-5.5493500706214935E-2</v>
      </c>
      <c r="F246" s="77">
        <f t="shared" si="11"/>
        <v>6.6336165988826551E-2</v>
      </c>
    </row>
    <row r="247" spans="1:6" x14ac:dyDescent="0.2">
      <c r="A247" s="38">
        <v>45081</v>
      </c>
      <c r="B247" s="30">
        <v>10688.5</v>
      </c>
      <c r="C247" s="43">
        <f t="shared" si="9"/>
        <v>-4.9375847024441984E-2</v>
      </c>
      <c r="D247" s="29">
        <v>15.55</v>
      </c>
      <c r="E247" s="43">
        <f t="shared" si="10"/>
        <v>-0.12950400095454023</v>
      </c>
      <c r="F247" s="77">
        <f t="shared" si="11"/>
        <v>8.0128153930098256E-2</v>
      </c>
    </row>
    <row r="248" spans="1:6" x14ac:dyDescent="0.2">
      <c r="A248" s="38">
        <v>45083</v>
      </c>
      <c r="B248" s="30">
        <v>10816.7</v>
      </c>
      <c r="C248" s="43">
        <f t="shared" si="9"/>
        <v>1.1922839004141227E-2</v>
      </c>
      <c r="D248" s="29">
        <v>13.82</v>
      </c>
      <c r="E248" s="43">
        <f t="shared" si="10"/>
        <v>-0.11794382028571927</v>
      </c>
      <c r="F248" s="77">
        <f t="shared" si="11"/>
        <v>0.12986665928986049</v>
      </c>
    </row>
    <row r="249" spans="1:6" x14ac:dyDescent="0.2">
      <c r="A249" s="38">
        <v>45084</v>
      </c>
      <c r="B249" s="30">
        <v>10856.8</v>
      </c>
      <c r="C249" s="43">
        <f t="shared" si="9"/>
        <v>3.7003756436841256E-3</v>
      </c>
      <c r="D249" s="29">
        <v>13.48</v>
      </c>
      <c r="E249" s="43">
        <f t="shared" si="10"/>
        <v>-2.490971285536284E-2</v>
      </c>
      <c r="F249" s="77">
        <f t="shared" si="11"/>
        <v>2.8610088499046966E-2</v>
      </c>
    </row>
    <row r="250" spans="1:6" x14ac:dyDescent="0.2">
      <c r="A250" s="38">
        <v>45086</v>
      </c>
      <c r="B250" s="30">
        <v>11957.1</v>
      </c>
      <c r="C250" s="43">
        <f t="shared" si="9"/>
        <v>9.6533632419278509E-2</v>
      </c>
      <c r="D250" s="29">
        <v>14.21</v>
      </c>
      <c r="E250" s="43">
        <f t="shared" si="10"/>
        <v>5.2738836624848406E-2</v>
      </c>
      <c r="F250" s="77">
        <f t="shared" si="11"/>
        <v>4.3794795794430103E-2</v>
      </c>
    </row>
    <row r="251" spans="1:6" x14ac:dyDescent="0.2">
      <c r="A251" s="38">
        <v>45087</v>
      </c>
      <c r="B251" s="30">
        <v>10926.2</v>
      </c>
      <c r="C251" s="43">
        <f t="shared" si="9"/>
        <v>-9.0161669437665737E-2</v>
      </c>
      <c r="D251" s="29">
        <v>20.21</v>
      </c>
      <c r="E251" s="43">
        <f t="shared" si="10"/>
        <v>0.35223158930652043</v>
      </c>
      <c r="F251" s="77">
        <f t="shared" si="11"/>
        <v>-0.44239325874418617</v>
      </c>
    </row>
    <row r="252" spans="1:6" x14ac:dyDescent="0.2">
      <c r="A252" s="38">
        <v>45088</v>
      </c>
      <c r="B252" s="30">
        <v>10873.6</v>
      </c>
      <c r="C252" s="43">
        <f t="shared" si="9"/>
        <v>-4.8257417112154144E-3</v>
      </c>
      <c r="D252" s="29">
        <v>19.739999999999998</v>
      </c>
      <c r="E252" s="43">
        <f t="shared" si="10"/>
        <v>-2.3530497410194272E-2</v>
      </c>
      <c r="F252" s="77">
        <f t="shared" si="11"/>
        <v>1.8704755698978857E-2</v>
      </c>
    </row>
    <row r="253" spans="1:6" x14ac:dyDescent="0.2">
      <c r="A253" s="38">
        <v>45089</v>
      </c>
      <c r="B253" s="30">
        <v>10020</v>
      </c>
      <c r="C253" s="43">
        <f t="shared" si="9"/>
        <v>-8.1754737398702412E-2</v>
      </c>
      <c r="D253" s="29">
        <v>18.53</v>
      </c>
      <c r="E253" s="43">
        <f t="shared" si="10"/>
        <v>-6.3255993708066977E-2</v>
      </c>
      <c r="F253" s="77">
        <f t="shared" si="11"/>
        <v>-1.8498743690635436E-2</v>
      </c>
    </row>
    <row r="254" spans="1:6" x14ac:dyDescent="0.2">
      <c r="A254" s="38">
        <v>45109</v>
      </c>
      <c r="B254" s="30">
        <v>11161.7</v>
      </c>
      <c r="C254" s="43">
        <f t="shared" si="9"/>
        <v>0.10790517944455211</v>
      </c>
      <c r="D254" s="29">
        <v>17.91</v>
      </c>
      <c r="E254" s="43">
        <f t="shared" si="10"/>
        <v>-3.4031824224648045E-2</v>
      </c>
      <c r="F254" s="77">
        <f t="shared" si="11"/>
        <v>0.14193700366920015</v>
      </c>
    </row>
    <row r="255" spans="1:6" x14ac:dyDescent="0.2">
      <c r="A255" s="38">
        <v>45110</v>
      </c>
      <c r="B255" s="30">
        <v>11365.8</v>
      </c>
      <c r="C255" s="43">
        <f t="shared" si="9"/>
        <v>1.8120571278880202E-2</v>
      </c>
      <c r="D255" s="29">
        <v>17.010000000000002</v>
      </c>
      <c r="E255" s="43">
        <f t="shared" si="10"/>
        <v>-5.1557809664849893E-2</v>
      </c>
      <c r="F255" s="77">
        <f t="shared" si="11"/>
        <v>6.9678380943730092E-2</v>
      </c>
    </row>
    <row r="256" spans="1:6" x14ac:dyDescent="0.2">
      <c r="A256" s="38">
        <v>45113</v>
      </c>
      <c r="B256" s="30">
        <v>10739.3</v>
      </c>
      <c r="C256" s="43">
        <f t="shared" si="9"/>
        <v>-5.6698936332291776E-2</v>
      </c>
      <c r="D256" s="29">
        <v>15.44</v>
      </c>
      <c r="E256" s="43">
        <f t="shared" si="10"/>
        <v>-9.6839861811140376E-2</v>
      </c>
      <c r="F256" s="77">
        <f t="shared" si="11"/>
        <v>4.0140925478848601E-2</v>
      </c>
    </row>
    <row r="257" spans="1:6" x14ac:dyDescent="0.2">
      <c r="A257" s="38">
        <v>45114</v>
      </c>
      <c r="B257" s="30">
        <v>10733.6</v>
      </c>
      <c r="C257" s="43">
        <f t="shared" si="9"/>
        <v>-5.3090175373432362E-4</v>
      </c>
      <c r="D257" s="29">
        <v>13.4</v>
      </c>
      <c r="E257" s="43">
        <f t="shared" si="10"/>
        <v>-0.14170683763976433</v>
      </c>
      <c r="F257" s="77">
        <f t="shared" si="11"/>
        <v>0.14117593588603</v>
      </c>
    </row>
    <row r="258" spans="1:6" x14ac:dyDescent="0.2">
      <c r="A258" s="38">
        <v>45115</v>
      </c>
      <c r="B258" s="30">
        <v>11810.9</v>
      </c>
      <c r="C258" s="43">
        <f t="shared" si="9"/>
        <v>9.5643825616142611E-2</v>
      </c>
      <c r="D258" s="29">
        <v>14.25</v>
      </c>
      <c r="E258" s="43">
        <f t="shared" si="10"/>
        <v>6.1502199757793863E-2</v>
      </c>
      <c r="F258" s="77">
        <f t="shared" si="11"/>
        <v>3.4141625858348748E-2</v>
      </c>
    </row>
    <row r="259" spans="1:6" x14ac:dyDescent="0.2">
      <c r="A259" s="38">
        <v>45116</v>
      </c>
      <c r="B259" s="30">
        <v>11779.2</v>
      </c>
      <c r="C259" s="43">
        <f t="shared" si="9"/>
        <v>-2.6875697077024855E-3</v>
      </c>
      <c r="D259" s="29">
        <v>20.05</v>
      </c>
      <c r="E259" s="43">
        <f t="shared" si="10"/>
        <v>0.34147224703791879</v>
      </c>
      <c r="F259" s="77">
        <f t="shared" si="11"/>
        <v>-0.34415981674562129</v>
      </c>
    </row>
    <row r="260" spans="1:6" x14ac:dyDescent="0.2">
      <c r="A260" s="38">
        <v>45118</v>
      </c>
      <c r="B260" s="30">
        <v>10788.2</v>
      </c>
      <c r="C260" s="43">
        <f t="shared" si="9"/>
        <v>-8.7882319979390736E-2</v>
      </c>
      <c r="D260" s="29">
        <v>19.760000000000002</v>
      </c>
      <c r="E260" s="43">
        <f t="shared" si="10"/>
        <v>-1.4569461432856446E-2</v>
      </c>
      <c r="F260" s="77">
        <f t="shared" si="11"/>
        <v>-7.3312858546534285E-2</v>
      </c>
    </row>
    <row r="261" spans="1:6" x14ac:dyDescent="0.2">
      <c r="A261" s="38">
        <v>45119</v>
      </c>
      <c r="B261" s="30">
        <v>10045.4</v>
      </c>
      <c r="C261" s="43">
        <f t="shared" ref="C261:C324" si="12">LN(B261/B260)</f>
        <v>-7.1338125942732519E-2</v>
      </c>
      <c r="D261" s="29">
        <v>18.579999999999998</v>
      </c>
      <c r="E261" s="43">
        <f t="shared" ref="E261:E324" si="13">LN(D261/D260)</f>
        <v>-6.1573958934029512E-2</v>
      </c>
      <c r="F261" s="77">
        <f t="shared" ref="F261:F324" si="14">C261-E261</f>
        <v>-9.7641670087030077E-3</v>
      </c>
    </row>
    <row r="262" spans="1:6" x14ac:dyDescent="0.2">
      <c r="A262" s="38">
        <v>45140</v>
      </c>
      <c r="B262" s="30">
        <v>11186.9</v>
      </c>
      <c r="C262" s="43">
        <f t="shared" si="12"/>
        <v>0.10762863259740696</v>
      </c>
      <c r="D262" s="29">
        <v>18.579999999999998</v>
      </c>
      <c r="E262" s="43">
        <f t="shared" si="13"/>
        <v>0</v>
      </c>
      <c r="F262" s="77">
        <f t="shared" si="14"/>
        <v>0.10762863259740696</v>
      </c>
    </row>
    <row r="263" spans="1:6" x14ac:dyDescent="0.2">
      <c r="A263" s="38">
        <v>45141</v>
      </c>
      <c r="B263" s="30">
        <v>10884.1</v>
      </c>
      <c r="C263" s="43">
        <f t="shared" si="12"/>
        <v>-2.7440442200452948E-2</v>
      </c>
      <c r="D263" s="29">
        <v>16.989999999999998</v>
      </c>
      <c r="E263" s="43">
        <f t="shared" si="13"/>
        <v>-8.9460797701851835E-2</v>
      </c>
      <c r="F263" s="77">
        <f t="shared" si="14"/>
        <v>6.2020355501398887E-2</v>
      </c>
    </row>
    <row r="264" spans="1:6" x14ac:dyDescent="0.2">
      <c r="A264" s="38">
        <v>45143</v>
      </c>
      <c r="B264" s="30">
        <v>10725.9</v>
      </c>
      <c r="C264" s="43">
        <f t="shared" si="12"/>
        <v>-1.4641631300156723E-2</v>
      </c>
      <c r="D264" s="29">
        <v>15.45</v>
      </c>
      <c r="E264" s="43">
        <f t="shared" si="13"/>
        <v>-9.5015932340086123E-2</v>
      </c>
      <c r="F264" s="77">
        <f t="shared" si="14"/>
        <v>8.0374301039929402E-2</v>
      </c>
    </row>
    <row r="265" spans="1:6" x14ac:dyDescent="0.2">
      <c r="A265" s="38">
        <v>45144</v>
      </c>
      <c r="B265" s="30">
        <v>10881.7</v>
      </c>
      <c r="C265" s="43">
        <f t="shared" si="12"/>
        <v>1.4421101844797736E-2</v>
      </c>
      <c r="D265" s="29">
        <v>13.2</v>
      </c>
      <c r="E265" s="43">
        <f t="shared" si="13"/>
        <v>-0.15739217375142936</v>
      </c>
      <c r="F265" s="77">
        <f t="shared" si="14"/>
        <v>0.17181327559622708</v>
      </c>
    </row>
    <row r="266" spans="1:6" x14ac:dyDescent="0.2">
      <c r="A266" s="38">
        <v>45146</v>
      </c>
      <c r="B266" s="30">
        <v>11829.3</v>
      </c>
      <c r="C266" s="43">
        <f t="shared" si="12"/>
        <v>8.3497025419917381E-2</v>
      </c>
      <c r="D266" s="29">
        <v>14.09</v>
      </c>
      <c r="E266" s="43">
        <f t="shared" si="13"/>
        <v>6.5248496318263641E-2</v>
      </c>
      <c r="F266" s="77">
        <f t="shared" si="14"/>
        <v>1.824852910165374E-2</v>
      </c>
    </row>
    <row r="267" spans="1:6" x14ac:dyDescent="0.2">
      <c r="A267" s="38">
        <v>45147</v>
      </c>
      <c r="B267" s="30">
        <v>11799.7</v>
      </c>
      <c r="C267" s="43">
        <f t="shared" si="12"/>
        <v>-2.5053972223370779E-3</v>
      </c>
      <c r="D267" s="29">
        <v>20.05</v>
      </c>
      <c r="E267" s="43">
        <f t="shared" si="13"/>
        <v>0.3527638278419894</v>
      </c>
      <c r="F267" s="77">
        <f t="shared" si="14"/>
        <v>-0.35526922506432645</v>
      </c>
    </row>
    <row r="268" spans="1:6" x14ac:dyDescent="0.2">
      <c r="A268" s="38">
        <v>45149</v>
      </c>
      <c r="B268" s="30">
        <v>10772</v>
      </c>
      <c r="C268" s="43">
        <f t="shared" si="12"/>
        <v>-9.1123932470264651E-2</v>
      </c>
      <c r="D268" s="29">
        <v>19.71</v>
      </c>
      <c r="E268" s="43">
        <f t="shared" si="13"/>
        <v>-1.7103032587949322E-2</v>
      </c>
      <c r="F268" s="77">
        <f t="shared" si="14"/>
        <v>-7.4020899882315333E-2</v>
      </c>
    </row>
    <row r="269" spans="1:6" x14ac:dyDescent="0.2">
      <c r="A269" s="38">
        <v>45150</v>
      </c>
      <c r="B269" s="30">
        <v>10149.4</v>
      </c>
      <c r="C269" s="43">
        <f t="shared" si="12"/>
        <v>-5.9535584509308806E-2</v>
      </c>
      <c r="D269" s="29">
        <v>19.46</v>
      </c>
      <c r="E269" s="43">
        <f t="shared" si="13"/>
        <v>-1.2765044406769887E-2</v>
      </c>
      <c r="F269" s="77">
        <f t="shared" si="14"/>
        <v>-4.6770540102538921E-2</v>
      </c>
    </row>
    <row r="270" spans="1:6" x14ac:dyDescent="0.2">
      <c r="A270" s="38">
        <v>45170</v>
      </c>
      <c r="B270" s="30">
        <v>10927</v>
      </c>
      <c r="C270" s="43">
        <f t="shared" si="12"/>
        <v>7.3822200148564596E-2</v>
      </c>
      <c r="D270" s="29">
        <v>18.47</v>
      </c>
      <c r="E270" s="43">
        <f t="shared" si="13"/>
        <v>-5.2213282546710461E-2</v>
      </c>
      <c r="F270" s="77">
        <f t="shared" si="14"/>
        <v>0.12603548269527506</v>
      </c>
    </row>
    <row r="271" spans="1:6" x14ac:dyDescent="0.2">
      <c r="A271" s="38">
        <v>45171</v>
      </c>
      <c r="B271" s="30">
        <v>11138.3</v>
      </c>
      <c r="C271" s="43">
        <f t="shared" si="12"/>
        <v>1.9152829033873966E-2</v>
      </c>
      <c r="D271" s="29">
        <v>18.5</v>
      </c>
      <c r="E271" s="43">
        <f t="shared" si="13"/>
        <v>1.6229378731305688E-3</v>
      </c>
      <c r="F271" s="77">
        <f t="shared" si="14"/>
        <v>1.7529891160743397E-2</v>
      </c>
    </row>
    <row r="272" spans="1:6" x14ac:dyDescent="0.2">
      <c r="A272" s="38">
        <v>45172</v>
      </c>
      <c r="B272" s="30">
        <v>11033.1</v>
      </c>
      <c r="C272" s="43">
        <f t="shared" si="12"/>
        <v>-9.4897741674513109E-3</v>
      </c>
      <c r="D272" s="29">
        <v>17.16</v>
      </c>
      <c r="E272" s="43">
        <f t="shared" si="13"/>
        <v>-7.5189638024462949E-2</v>
      </c>
      <c r="F272" s="77">
        <f t="shared" si="14"/>
        <v>6.5699863857011639E-2</v>
      </c>
    </row>
    <row r="273" spans="1:6" x14ac:dyDescent="0.2">
      <c r="A273" s="38">
        <v>45174</v>
      </c>
      <c r="B273" s="30">
        <v>10694.6</v>
      </c>
      <c r="C273" s="43">
        <f t="shared" si="12"/>
        <v>-3.1160904274595246E-2</v>
      </c>
      <c r="D273" s="29">
        <v>13.82</v>
      </c>
      <c r="E273" s="43">
        <f t="shared" si="13"/>
        <v>-0.21646427572029239</v>
      </c>
      <c r="F273" s="77">
        <f t="shared" si="14"/>
        <v>0.18530337144569714</v>
      </c>
    </row>
    <row r="274" spans="1:6" x14ac:dyDescent="0.2">
      <c r="A274" s="38">
        <v>45175</v>
      </c>
      <c r="B274" s="30">
        <v>10853.3</v>
      </c>
      <c r="C274" s="43">
        <f t="shared" si="12"/>
        <v>1.4730240028006597E-2</v>
      </c>
      <c r="D274" s="29">
        <v>13.07</v>
      </c>
      <c r="E274" s="43">
        <f t="shared" si="13"/>
        <v>-5.5797290703393253E-2</v>
      </c>
      <c r="F274" s="77">
        <f t="shared" si="14"/>
        <v>7.0527530731399848E-2</v>
      </c>
    </row>
    <row r="275" spans="1:6" x14ac:dyDescent="0.2">
      <c r="A275" s="38">
        <v>45177</v>
      </c>
      <c r="B275" s="30">
        <v>11833.7</v>
      </c>
      <c r="C275" s="43">
        <f t="shared" si="12"/>
        <v>8.6482212040257744E-2</v>
      </c>
      <c r="D275" s="29">
        <v>20.350000000000001</v>
      </c>
      <c r="E275" s="43">
        <f t="shared" si="13"/>
        <v>0.44276138425247347</v>
      </c>
      <c r="F275" s="77">
        <f t="shared" si="14"/>
        <v>-0.35627917221221572</v>
      </c>
    </row>
    <row r="276" spans="1:6" x14ac:dyDescent="0.2">
      <c r="A276" s="38">
        <v>45179</v>
      </c>
      <c r="B276" s="30">
        <v>11258.3</v>
      </c>
      <c r="C276" s="43">
        <f t="shared" si="12"/>
        <v>-4.9845758844730345E-2</v>
      </c>
      <c r="D276" s="29">
        <v>19.68</v>
      </c>
      <c r="E276" s="43">
        <f t="shared" si="13"/>
        <v>-3.3478020264496762E-2</v>
      </c>
      <c r="F276" s="77">
        <f t="shared" si="14"/>
        <v>-1.6367738580233583E-2</v>
      </c>
    </row>
    <row r="277" spans="1:6" x14ac:dyDescent="0.2">
      <c r="A277" s="38">
        <v>45180</v>
      </c>
      <c r="B277" s="30">
        <v>10674.3</v>
      </c>
      <c r="C277" s="43">
        <f t="shared" si="12"/>
        <v>-5.3266651209826821E-2</v>
      </c>
      <c r="D277" s="29">
        <v>19.170000000000002</v>
      </c>
      <c r="E277" s="43">
        <f t="shared" si="13"/>
        <v>-2.6256334566554091E-2</v>
      </c>
      <c r="F277" s="77">
        <f t="shared" si="14"/>
        <v>-2.701031664327273E-2</v>
      </c>
    </row>
    <row r="278" spans="1:6" x14ac:dyDescent="0.2">
      <c r="A278" s="38">
        <v>45200</v>
      </c>
      <c r="B278" s="30">
        <v>10891.4</v>
      </c>
      <c r="C278" s="43">
        <f t="shared" si="12"/>
        <v>2.0134503798191514E-2</v>
      </c>
      <c r="D278" s="29">
        <v>19.41</v>
      </c>
      <c r="E278" s="43">
        <f t="shared" si="13"/>
        <v>1.244184012336572E-2</v>
      </c>
      <c r="F278" s="77">
        <f t="shared" si="14"/>
        <v>7.6926636748257948E-3</v>
      </c>
    </row>
    <row r="279" spans="1:6" x14ac:dyDescent="0.2">
      <c r="A279" s="38">
        <v>45201</v>
      </c>
      <c r="B279" s="30">
        <v>10951.5</v>
      </c>
      <c r="C279" s="43">
        <f t="shared" si="12"/>
        <v>5.5029461897788453E-3</v>
      </c>
      <c r="D279" s="29">
        <v>18.579999999999998</v>
      </c>
      <c r="E279" s="43">
        <f t="shared" si="13"/>
        <v>-4.3702663795226526E-2</v>
      </c>
      <c r="F279" s="77">
        <f t="shared" si="14"/>
        <v>4.9205609985005373E-2</v>
      </c>
    </row>
    <row r="280" spans="1:6" x14ac:dyDescent="0.2">
      <c r="A280" s="38">
        <v>45202</v>
      </c>
      <c r="B280" s="30">
        <v>10662.9</v>
      </c>
      <c r="C280" s="43">
        <f t="shared" si="12"/>
        <v>-2.6706006413810813E-2</v>
      </c>
      <c r="D280" s="29">
        <v>18.149999999999999</v>
      </c>
      <c r="E280" s="43">
        <f t="shared" si="13"/>
        <v>-2.3415172674832691E-2</v>
      </c>
      <c r="F280" s="77">
        <f t="shared" si="14"/>
        <v>-3.2908337389781217E-3</v>
      </c>
    </row>
    <row r="281" spans="1:6" x14ac:dyDescent="0.2">
      <c r="A281" s="38">
        <v>45204</v>
      </c>
      <c r="B281" s="30">
        <v>10661.4</v>
      </c>
      <c r="C281" s="43">
        <f t="shared" si="12"/>
        <v>-1.4068457135510626E-4</v>
      </c>
      <c r="D281" s="29">
        <v>16.940000000000001</v>
      </c>
      <c r="E281" s="43">
        <f t="shared" si="13"/>
        <v>-6.899287148695131E-2</v>
      </c>
      <c r="F281" s="77">
        <f t="shared" si="14"/>
        <v>6.8852186915596206E-2</v>
      </c>
    </row>
    <row r="282" spans="1:6" x14ac:dyDescent="0.2">
      <c r="A282" s="38">
        <v>45206</v>
      </c>
      <c r="B282" s="30">
        <v>10684.6</v>
      </c>
      <c r="C282" s="43">
        <f t="shared" si="12"/>
        <v>2.1737102159683844E-3</v>
      </c>
      <c r="D282" s="29">
        <v>14.35</v>
      </c>
      <c r="E282" s="43">
        <f t="shared" si="13"/>
        <v>-0.16592774701827828</v>
      </c>
      <c r="F282" s="77">
        <f t="shared" si="14"/>
        <v>0.16810145723424666</v>
      </c>
    </row>
    <row r="283" spans="1:6" x14ac:dyDescent="0.2">
      <c r="A283" s="38">
        <v>45207</v>
      </c>
      <c r="B283" s="30">
        <v>12102.4</v>
      </c>
      <c r="C283" s="43">
        <f t="shared" si="12"/>
        <v>0.12460032762903114</v>
      </c>
      <c r="D283" s="29">
        <v>13.01</v>
      </c>
      <c r="E283" s="43">
        <f t="shared" si="13"/>
        <v>-9.8031649681216193E-2</v>
      </c>
      <c r="F283" s="77">
        <f t="shared" si="14"/>
        <v>0.22263197731024734</v>
      </c>
    </row>
    <row r="284" spans="1:6" x14ac:dyDescent="0.2">
      <c r="A284" s="38">
        <v>45209</v>
      </c>
      <c r="B284" s="30">
        <v>11351.5</v>
      </c>
      <c r="C284" s="43">
        <f t="shared" si="12"/>
        <v>-6.4053886256403667E-2</v>
      </c>
      <c r="D284" s="29">
        <v>20.94</v>
      </c>
      <c r="E284" s="43">
        <f t="shared" si="13"/>
        <v>0.47594291291797697</v>
      </c>
      <c r="F284" s="77">
        <f t="shared" si="14"/>
        <v>-0.53999679917438059</v>
      </c>
    </row>
    <row r="285" spans="1:6" x14ac:dyDescent="0.2">
      <c r="A285" s="38">
        <v>45210</v>
      </c>
      <c r="B285" s="30">
        <v>10513</v>
      </c>
      <c r="C285" s="43">
        <f t="shared" si="12"/>
        <v>-7.6737307191849027E-2</v>
      </c>
      <c r="D285" s="29">
        <v>19.47</v>
      </c>
      <c r="E285" s="43">
        <f t="shared" si="13"/>
        <v>-7.2786386058282568E-2</v>
      </c>
      <c r="F285" s="77">
        <f t="shared" si="14"/>
        <v>-3.9509211335664596E-3</v>
      </c>
    </row>
    <row r="286" spans="1:6" x14ac:dyDescent="0.2">
      <c r="A286" s="38">
        <v>45231</v>
      </c>
      <c r="B286" s="30">
        <v>10961</v>
      </c>
      <c r="C286" s="43">
        <f t="shared" si="12"/>
        <v>4.1730931639892541E-2</v>
      </c>
      <c r="D286" s="29">
        <v>18.5</v>
      </c>
      <c r="E286" s="43">
        <f t="shared" si="13"/>
        <v>-5.1104087299829092E-2</v>
      </c>
      <c r="F286" s="77">
        <f t="shared" si="14"/>
        <v>9.2835018939721625E-2</v>
      </c>
    </row>
    <row r="287" spans="1:6" x14ac:dyDescent="0.2">
      <c r="A287" s="38">
        <v>45234</v>
      </c>
      <c r="B287" s="30">
        <v>10802.5</v>
      </c>
      <c r="C287" s="43">
        <f t="shared" si="12"/>
        <v>-1.4565929409635178E-2</v>
      </c>
      <c r="D287" s="29">
        <v>18.22</v>
      </c>
      <c r="E287" s="43">
        <f t="shared" si="13"/>
        <v>-1.5250840252466941E-2</v>
      </c>
      <c r="F287" s="77">
        <f t="shared" si="14"/>
        <v>6.8491084283176309E-4</v>
      </c>
    </row>
    <row r="288" spans="1:6" x14ac:dyDescent="0.2">
      <c r="A288" s="38">
        <v>45235</v>
      </c>
      <c r="B288" s="30">
        <v>10673.1</v>
      </c>
      <c r="C288" s="43">
        <f t="shared" si="12"/>
        <v>-1.2051031499119309E-2</v>
      </c>
      <c r="D288" s="29">
        <v>16.86</v>
      </c>
      <c r="E288" s="43">
        <f t="shared" si="13"/>
        <v>-7.7575939258102813E-2</v>
      </c>
      <c r="F288" s="77">
        <f t="shared" si="14"/>
        <v>6.5524907758983508E-2</v>
      </c>
    </row>
    <row r="289" spans="1:6" x14ac:dyDescent="0.2">
      <c r="A289" s="38">
        <v>45237</v>
      </c>
      <c r="B289" s="30">
        <v>10792.4</v>
      </c>
      <c r="C289" s="43">
        <f t="shared" si="12"/>
        <v>1.1115625385968079E-2</v>
      </c>
      <c r="D289" s="29">
        <v>15.53</v>
      </c>
      <c r="E289" s="43">
        <f t="shared" si="13"/>
        <v>-8.2170315413113718E-2</v>
      </c>
      <c r="F289" s="77">
        <f t="shared" si="14"/>
        <v>9.3285940799081798E-2</v>
      </c>
    </row>
    <row r="290" spans="1:6" x14ac:dyDescent="0.2">
      <c r="A290" s="38">
        <v>45238</v>
      </c>
      <c r="B290" s="30">
        <v>11869.3</v>
      </c>
      <c r="C290" s="43">
        <f t="shared" si="12"/>
        <v>9.5113051973027662E-2</v>
      </c>
      <c r="D290" s="29">
        <v>14.49</v>
      </c>
      <c r="E290" s="43">
        <f t="shared" si="13"/>
        <v>-6.9314880828004619E-2</v>
      </c>
      <c r="F290" s="77">
        <f t="shared" si="14"/>
        <v>0.16442793280103229</v>
      </c>
    </row>
    <row r="291" spans="1:6" x14ac:dyDescent="0.2">
      <c r="A291" s="38">
        <v>45239</v>
      </c>
      <c r="B291" s="30">
        <v>11864.9</v>
      </c>
      <c r="C291" s="43">
        <f t="shared" si="12"/>
        <v>-3.7077298163878947E-4</v>
      </c>
      <c r="D291" s="29">
        <v>14.13</v>
      </c>
      <c r="E291" s="43">
        <f t="shared" si="13"/>
        <v>-2.5158559636154872E-2</v>
      </c>
      <c r="F291" s="77">
        <f t="shared" si="14"/>
        <v>2.4787786654516083E-2</v>
      </c>
    </row>
    <row r="292" spans="1:6" x14ac:dyDescent="0.2">
      <c r="A292" s="38">
        <v>45240</v>
      </c>
      <c r="B292" s="30">
        <v>11428.4</v>
      </c>
      <c r="C292" s="43">
        <f t="shared" si="12"/>
        <v>-3.7482976196121613E-2</v>
      </c>
      <c r="D292" s="29">
        <v>21.25</v>
      </c>
      <c r="E292" s="43">
        <f t="shared" si="13"/>
        <v>0.40805669867398975</v>
      </c>
      <c r="F292" s="77">
        <f t="shared" si="14"/>
        <v>-0.44553967487011137</v>
      </c>
    </row>
    <row r="293" spans="1:6" x14ac:dyDescent="0.2">
      <c r="A293" s="38">
        <v>45242</v>
      </c>
      <c r="B293" s="30">
        <v>10267.4</v>
      </c>
      <c r="C293" s="43">
        <f t="shared" si="12"/>
        <v>-0.10712765817411843</v>
      </c>
      <c r="D293" s="29">
        <v>19.420000000000002</v>
      </c>
      <c r="E293" s="43">
        <f t="shared" si="13"/>
        <v>-9.0053432507246858E-2</v>
      </c>
      <c r="F293" s="77">
        <f t="shared" si="14"/>
        <v>-1.707422566687157E-2</v>
      </c>
    </row>
    <row r="294" spans="1:6" x14ac:dyDescent="0.2">
      <c r="A294" s="38">
        <v>45261</v>
      </c>
      <c r="B294" s="30">
        <v>11097.6</v>
      </c>
      <c r="C294" s="43">
        <f t="shared" si="12"/>
        <v>7.7755041392027671E-2</v>
      </c>
      <c r="D294" s="29">
        <v>19.07</v>
      </c>
      <c r="E294" s="43">
        <f t="shared" si="13"/>
        <v>-1.8187043250851197E-2</v>
      </c>
      <c r="F294" s="77">
        <f t="shared" si="14"/>
        <v>9.5942084642878872E-2</v>
      </c>
    </row>
    <row r="295" spans="1:6" x14ac:dyDescent="0.2">
      <c r="A295" s="38">
        <v>45264</v>
      </c>
      <c r="B295" s="30">
        <v>10766.3</v>
      </c>
      <c r="C295" s="43">
        <f t="shared" si="12"/>
        <v>-3.030798347093883E-2</v>
      </c>
      <c r="D295" s="29">
        <v>18.7</v>
      </c>
      <c r="E295" s="43">
        <f t="shared" si="13"/>
        <v>-1.9592895751786778E-2</v>
      </c>
      <c r="F295" s="77">
        <f t="shared" si="14"/>
        <v>-1.0715087719152052E-2</v>
      </c>
    </row>
    <row r="296" spans="1:6" x14ac:dyDescent="0.2">
      <c r="A296" s="38">
        <v>45265</v>
      </c>
      <c r="B296" s="30">
        <v>10615.4</v>
      </c>
      <c r="C296" s="43">
        <f t="shared" si="12"/>
        <v>-1.4115108283057426E-2</v>
      </c>
      <c r="D296" s="29">
        <v>18.63</v>
      </c>
      <c r="E296" s="43">
        <f t="shared" si="13"/>
        <v>-3.7503392470438894E-3</v>
      </c>
      <c r="F296" s="77">
        <f t="shared" si="14"/>
        <v>-1.0364769036013537E-2</v>
      </c>
    </row>
    <row r="297" spans="1:6" x14ac:dyDescent="0.2">
      <c r="A297" s="38">
        <v>45267</v>
      </c>
      <c r="B297" s="30">
        <v>11003.4</v>
      </c>
      <c r="C297" s="43">
        <f t="shared" si="12"/>
        <v>3.589853897872719E-2</v>
      </c>
      <c r="D297" s="29">
        <v>15.63</v>
      </c>
      <c r="E297" s="43">
        <f t="shared" si="13"/>
        <v>-0.17558104018011178</v>
      </c>
      <c r="F297" s="77">
        <f t="shared" si="14"/>
        <v>0.21147957915883897</v>
      </c>
    </row>
    <row r="298" spans="1:6" x14ac:dyDescent="0.2">
      <c r="A298" s="38">
        <v>45269</v>
      </c>
      <c r="B298" s="30">
        <v>11694.7</v>
      </c>
      <c r="C298" s="43">
        <f t="shared" si="12"/>
        <v>6.0931431770388081E-2</v>
      </c>
      <c r="D298" s="29">
        <v>14.13</v>
      </c>
      <c r="E298" s="43">
        <f t="shared" si="13"/>
        <v>-0.10089194773694916</v>
      </c>
      <c r="F298" s="77">
        <f t="shared" si="14"/>
        <v>0.16182337950733724</v>
      </c>
    </row>
    <row r="299" spans="1:6" x14ac:dyDescent="0.2">
      <c r="A299" s="38">
        <v>45270</v>
      </c>
      <c r="B299" s="30">
        <v>11365.1</v>
      </c>
      <c r="C299" s="43">
        <f t="shared" si="12"/>
        <v>-2.8588491509172639E-2</v>
      </c>
      <c r="D299" s="29">
        <v>13.89</v>
      </c>
      <c r="E299" s="43">
        <f t="shared" si="13"/>
        <v>-1.713103993018367E-2</v>
      </c>
      <c r="F299" s="77">
        <f t="shared" si="14"/>
        <v>-1.1457451578988968E-2</v>
      </c>
    </row>
    <row r="300" spans="1:6" x14ac:dyDescent="0.2">
      <c r="A300" s="38">
        <v>45272</v>
      </c>
      <c r="B300" s="30">
        <v>10288.799999999999</v>
      </c>
      <c r="C300" s="43">
        <f t="shared" si="12"/>
        <v>-9.9491331240182918E-2</v>
      </c>
      <c r="D300" s="29">
        <v>14.25</v>
      </c>
      <c r="E300" s="43">
        <f t="shared" si="13"/>
        <v>2.5587749948407068E-2</v>
      </c>
      <c r="F300" s="77">
        <f t="shared" si="14"/>
        <v>-0.12507908118858999</v>
      </c>
    </row>
    <row r="301" spans="1:6" x14ac:dyDescent="0.2">
      <c r="A301" s="38">
        <v>45293</v>
      </c>
      <c r="B301" s="30">
        <v>11117.3</v>
      </c>
      <c r="C301" s="43">
        <f t="shared" si="12"/>
        <v>7.7446528615210758E-2</v>
      </c>
      <c r="D301" s="29">
        <v>14.13</v>
      </c>
      <c r="E301" s="43">
        <f t="shared" si="13"/>
        <v>-8.4567100182233977E-3</v>
      </c>
      <c r="F301" s="77">
        <f t="shared" si="14"/>
        <v>8.5903238633434159E-2</v>
      </c>
    </row>
    <row r="302" spans="1:6" x14ac:dyDescent="0.2">
      <c r="A302" s="38">
        <v>45294</v>
      </c>
      <c r="B302" s="30">
        <v>10519.6</v>
      </c>
      <c r="C302" s="43">
        <f t="shared" si="12"/>
        <v>-5.5262269811960668E-2</v>
      </c>
      <c r="D302" s="29">
        <v>13.97</v>
      </c>
      <c r="E302" s="43">
        <f t="shared" si="13"/>
        <v>-1.1388023427565582E-2</v>
      </c>
      <c r="F302" s="77">
        <f t="shared" si="14"/>
        <v>-4.3874246384395084E-2</v>
      </c>
    </row>
    <row r="303" spans="1:6" x14ac:dyDescent="0.2">
      <c r="A303" s="38">
        <v>45296</v>
      </c>
      <c r="B303" s="30">
        <v>10061.9</v>
      </c>
      <c r="C303" s="43">
        <f t="shared" si="12"/>
        <v>-4.4484170135280776E-2</v>
      </c>
      <c r="D303" s="29">
        <v>13.25</v>
      </c>
      <c r="E303" s="43">
        <f t="shared" si="13"/>
        <v>-5.2914620836639226E-2</v>
      </c>
      <c r="F303" s="77">
        <f t="shared" si="14"/>
        <v>8.4304507013584495E-3</v>
      </c>
    </row>
    <row r="304" spans="1:6" x14ac:dyDescent="0.2">
      <c r="A304" s="38">
        <v>45298</v>
      </c>
      <c r="B304" s="30">
        <v>10067.1</v>
      </c>
      <c r="C304" s="43">
        <f t="shared" si="12"/>
        <v>5.1666750615292866E-4</v>
      </c>
      <c r="D304" s="29">
        <v>13.31</v>
      </c>
      <c r="E304" s="43">
        <f t="shared" si="13"/>
        <v>4.5180799747891361E-3</v>
      </c>
      <c r="F304" s="77">
        <f t="shared" si="14"/>
        <v>-4.0014124686362073E-3</v>
      </c>
    </row>
    <row r="305" spans="1:6" x14ac:dyDescent="0.2">
      <c r="A305" s="38">
        <v>45299</v>
      </c>
      <c r="B305" s="30">
        <v>10110.6</v>
      </c>
      <c r="C305" s="43">
        <f t="shared" si="12"/>
        <v>4.3116973085524628E-3</v>
      </c>
      <c r="D305" s="29">
        <v>13.98</v>
      </c>
      <c r="E305" s="43">
        <f t="shared" si="13"/>
        <v>4.9112104398643927E-2</v>
      </c>
      <c r="F305" s="77">
        <f t="shared" si="14"/>
        <v>-4.4800407090091462E-2</v>
      </c>
    </row>
    <row r="306" spans="1:6" x14ac:dyDescent="0.2">
      <c r="A306" s="38">
        <v>45301</v>
      </c>
      <c r="B306" s="30">
        <v>9115.5</v>
      </c>
      <c r="C306" s="43">
        <f t="shared" si="12"/>
        <v>-0.10360811719103219</v>
      </c>
      <c r="D306" s="29">
        <v>14.5</v>
      </c>
      <c r="E306" s="43">
        <f t="shared" si="13"/>
        <v>3.652091262086446E-2</v>
      </c>
      <c r="F306" s="77">
        <f t="shared" si="14"/>
        <v>-0.14012902981189665</v>
      </c>
    </row>
    <row r="307" spans="1:6" x14ac:dyDescent="0.2">
      <c r="A307" s="38">
        <v>45302</v>
      </c>
      <c r="B307" s="30">
        <v>8751.2999999999993</v>
      </c>
      <c r="C307" s="43">
        <f t="shared" si="12"/>
        <v>-4.0774000498929812E-2</v>
      </c>
      <c r="D307" s="29">
        <v>13.15</v>
      </c>
      <c r="E307" s="43">
        <f t="shared" si="13"/>
        <v>-9.7726890802755123E-2</v>
      </c>
      <c r="F307" s="77">
        <f t="shared" si="14"/>
        <v>5.6952890303825311E-2</v>
      </c>
    </row>
    <row r="308" spans="1:6" x14ac:dyDescent="0.2">
      <c r="A308" s="38">
        <v>45323</v>
      </c>
      <c r="B308" s="30">
        <v>10781.7</v>
      </c>
      <c r="C308" s="43">
        <f t="shared" si="12"/>
        <v>0.20864799172856208</v>
      </c>
      <c r="D308" s="29">
        <v>15.39</v>
      </c>
      <c r="E308" s="43">
        <f t="shared" si="13"/>
        <v>0.15729618922701435</v>
      </c>
      <c r="F308" s="77">
        <f t="shared" si="14"/>
        <v>5.1351802501547722E-2</v>
      </c>
    </row>
    <row r="309" spans="1:6" x14ac:dyDescent="0.2">
      <c r="A309" s="38">
        <v>45324</v>
      </c>
      <c r="B309" s="30">
        <v>11238.5</v>
      </c>
      <c r="C309" s="43">
        <f t="shared" si="12"/>
        <v>4.1495131111730157E-2</v>
      </c>
      <c r="D309" s="29">
        <v>13.98</v>
      </c>
      <c r="E309" s="43">
        <f t="shared" si="13"/>
        <v>-9.6090211045123719E-2</v>
      </c>
      <c r="F309" s="77">
        <f t="shared" si="14"/>
        <v>0.13758534215685386</v>
      </c>
    </row>
    <row r="310" spans="1:6" x14ac:dyDescent="0.2">
      <c r="A310" s="38">
        <v>45326</v>
      </c>
      <c r="B310" s="30">
        <v>10841.3</v>
      </c>
      <c r="C310" s="43">
        <f t="shared" si="12"/>
        <v>-3.5982468582554598E-2</v>
      </c>
      <c r="D310" s="29">
        <v>13.74</v>
      </c>
      <c r="E310" s="43">
        <f t="shared" si="13"/>
        <v>-1.731645001146093E-2</v>
      </c>
      <c r="F310" s="77">
        <f t="shared" si="14"/>
        <v>-1.8666018571093668E-2</v>
      </c>
    </row>
    <row r="311" spans="1:6" x14ac:dyDescent="0.2">
      <c r="A311" s="38">
        <v>45327</v>
      </c>
      <c r="B311" s="30">
        <v>10008.799999999999</v>
      </c>
      <c r="C311" s="43">
        <f t="shared" si="12"/>
        <v>-7.989820899913723E-2</v>
      </c>
      <c r="D311" s="29">
        <v>13.52</v>
      </c>
      <c r="E311" s="43">
        <f t="shared" si="13"/>
        <v>-1.614121617938525E-2</v>
      </c>
      <c r="F311" s="77">
        <f t="shared" si="14"/>
        <v>-6.3756992819751973E-2</v>
      </c>
    </row>
    <row r="312" spans="1:6" x14ac:dyDescent="0.2">
      <c r="A312" s="38">
        <v>45329</v>
      </c>
      <c r="B312" s="30">
        <v>10268.1</v>
      </c>
      <c r="C312" s="43">
        <f t="shared" si="12"/>
        <v>2.5577295935352844E-2</v>
      </c>
      <c r="D312" s="29">
        <v>13.26</v>
      </c>
      <c r="E312" s="43">
        <f t="shared" si="13"/>
        <v>-1.9418085857101513E-2</v>
      </c>
      <c r="F312" s="77">
        <f t="shared" si="14"/>
        <v>4.4995381792454353E-2</v>
      </c>
    </row>
    <row r="313" spans="1:6" x14ac:dyDescent="0.2">
      <c r="A313" s="38">
        <v>45330</v>
      </c>
      <c r="B313" s="30">
        <v>9868.9</v>
      </c>
      <c r="C313" s="43">
        <f t="shared" si="12"/>
        <v>-3.9653603556751855E-2</v>
      </c>
      <c r="D313" s="29">
        <v>13.94</v>
      </c>
      <c r="E313" s="43">
        <f t="shared" si="13"/>
        <v>5.0010420574661416E-2</v>
      </c>
      <c r="F313" s="77">
        <f t="shared" si="14"/>
        <v>-8.9664024131413278E-2</v>
      </c>
    </row>
    <row r="314" spans="1:6" x14ac:dyDescent="0.2">
      <c r="A314" s="38">
        <v>45331</v>
      </c>
      <c r="B314" s="30">
        <v>9424.5</v>
      </c>
      <c r="C314" s="43">
        <f t="shared" si="12"/>
        <v>-4.6075716870679864E-2</v>
      </c>
      <c r="D314" s="29">
        <v>14.37</v>
      </c>
      <c r="E314" s="43">
        <f t="shared" si="13"/>
        <v>3.0380294758555658E-2</v>
      </c>
      <c r="F314" s="77">
        <f t="shared" si="14"/>
        <v>-7.6456011629235515E-2</v>
      </c>
    </row>
    <row r="315" spans="1:6" x14ac:dyDescent="0.2">
      <c r="A315" s="38">
        <v>45332</v>
      </c>
      <c r="B315" s="30">
        <v>9330</v>
      </c>
      <c r="C315" s="43">
        <f t="shared" si="12"/>
        <v>-1.0077666669721926E-2</v>
      </c>
      <c r="D315" s="29">
        <v>12.43</v>
      </c>
      <c r="E315" s="43">
        <f t="shared" si="13"/>
        <v>-0.14502979456831377</v>
      </c>
      <c r="F315" s="77">
        <f t="shared" si="14"/>
        <v>0.13495212789859184</v>
      </c>
    </row>
    <row r="316" spans="1:6" x14ac:dyDescent="0.2">
      <c r="A316" s="38">
        <v>45334</v>
      </c>
      <c r="B316" s="30">
        <v>8656.1</v>
      </c>
      <c r="C316" s="43">
        <f t="shared" si="12"/>
        <v>-7.4970740141636572E-2</v>
      </c>
      <c r="D316" s="29">
        <v>15.04</v>
      </c>
      <c r="E316" s="43">
        <f t="shared" si="13"/>
        <v>0.19060041299907393</v>
      </c>
      <c r="F316" s="77">
        <f t="shared" si="14"/>
        <v>-0.2655711531407105</v>
      </c>
    </row>
    <row r="317" spans="1:6" x14ac:dyDescent="0.2">
      <c r="A317" s="38">
        <v>45352</v>
      </c>
      <c r="B317" s="30">
        <v>10664.7</v>
      </c>
      <c r="C317" s="43">
        <f t="shared" si="12"/>
        <v>0.2086749474148413</v>
      </c>
      <c r="D317" s="29">
        <v>13.83</v>
      </c>
      <c r="E317" s="43">
        <f t="shared" si="13"/>
        <v>-8.3873172845026892E-2</v>
      </c>
      <c r="F317" s="77">
        <f t="shared" si="14"/>
        <v>0.29254812025986821</v>
      </c>
    </row>
    <row r="318" spans="1:6" x14ac:dyDescent="0.2">
      <c r="A318" s="38">
        <v>45355</v>
      </c>
      <c r="B318" s="30">
        <v>10847.3</v>
      </c>
      <c r="C318" s="43">
        <f t="shared" si="12"/>
        <v>1.6976978959961218E-2</v>
      </c>
      <c r="D318" s="29">
        <v>13.85</v>
      </c>
      <c r="E318" s="43">
        <f t="shared" si="13"/>
        <v>1.4450869566807129E-3</v>
      </c>
      <c r="F318" s="77">
        <f t="shared" si="14"/>
        <v>1.5531892003280506E-2</v>
      </c>
    </row>
    <row r="319" spans="1:6" x14ac:dyDescent="0.2">
      <c r="A319" s="38">
        <v>45356</v>
      </c>
      <c r="B319" s="30">
        <v>10070.799999999999</v>
      </c>
      <c r="C319" s="43">
        <f t="shared" si="12"/>
        <v>-7.4276053624695748E-2</v>
      </c>
      <c r="D319" s="29">
        <v>15.08</v>
      </c>
      <c r="E319" s="43">
        <f t="shared" si="13"/>
        <v>8.5084129946462445E-2</v>
      </c>
      <c r="F319" s="77">
        <f t="shared" si="14"/>
        <v>-0.15936018357115819</v>
      </c>
    </row>
    <row r="320" spans="1:6" x14ac:dyDescent="0.2">
      <c r="A320" s="38">
        <v>45357</v>
      </c>
      <c r="B320" s="30">
        <v>10262.200000000001</v>
      </c>
      <c r="C320" s="43">
        <f t="shared" si="12"/>
        <v>1.8827094240423826E-2</v>
      </c>
      <c r="D320" s="29">
        <v>13.59</v>
      </c>
      <c r="E320" s="43">
        <f t="shared" si="13"/>
        <v>-0.10403513441675771</v>
      </c>
      <c r="F320" s="77">
        <f t="shared" si="14"/>
        <v>0.12286222865718154</v>
      </c>
    </row>
    <row r="321" spans="1:6" x14ac:dyDescent="0.2">
      <c r="A321" s="38">
        <v>45358</v>
      </c>
      <c r="B321" s="30">
        <v>10325.4</v>
      </c>
      <c r="C321" s="43">
        <f t="shared" si="12"/>
        <v>6.1396373086366326E-3</v>
      </c>
      <c r="D321" s="29">
        <v>13.91</v>
      </c>
      <c r="E321" s="43">
        <f t="shared" si="13"/>
        <v>2.3273777772299171E-2</v>
      </c>
      <c r="F321" s="77">
        <f t="shared" si="14"/>
        <v>-1.7134140463662538E-2</v>
      </c>
    </row>
    <row r="322" spans="1:6" x14ac:dyDescent="0.2">
      <c r="A322" s="38">
        <v>45360</v>
      </c>
      <c r="B322" s="30">
        <v>9370.2999999999993</v>
      </c>
      <c r="C322" s="43">
        <f t="shared" si="12"/>
        <v>-9.706176620321437E-2</v>
      </c>
      <c r="D322" s="29">
        <v>14.21</v>
      </c>
      <c r="E322" s="43">
        <f t="shared" si="13"/>
        <v>2.1337936173657798E-2</v>
      </c>
      <c r="F322" s="77">
        <f t="shared" si="14"/>
        <v>-0.11839970237687217</v>
      </c>
    </row>
    <row r="323" spans="1:6" x14ac:dyDescent="0.2">
      <c r="A323" s="38">
        <v>45361</v>
      </c>
      <c r="B323" s="30">
        <v>9323.7000000000007</v>
      </c>
      <c r="C323" s="43">
        <f t="shared" si="12"/>
        <v>-4.9855671898606175E-3</v>
      </c>
      <c r="D323" s="29">
        <v>12.34</v>
      </c>
      <c r="E323" s="43">
        <f t="shared" si="13"/>
        <v>-0.1410999236317676</v>
      </c>
      <c r="F323" s="77">
        <f t="shared" si="14"/>
        <v>0.13611435644190698</v>
      </c>
    </row>
    <row r="324" spans="1:6" x14ac:dyDescent="0.2">
      <c r="A324" s="38">
        <v>45363</v>
      </c>
      <c r="B324" s="30">
        <v>8679.2999999999993</v>
      </c>
      <c r="C324" s="43">
        <f t="shared" si="12"/>
        <v>-7.1618665364735781E-2</v>
      </c>
      <c r="D324" s="29">
        <v>14.85</v>
      </c>
      <c r="E324" s="43">
        <f t="shared" si="13"/>
        <v>0.18515384677146685</v>
      </c>
      <c r="F324" s="77">
        <f t="shared" si="14"/>
        <v>-0.25677251213620261</v>
      </c>
    </row>
    <row r="325" spans="1:6" x14ac:dyDescent="0.2">
      <c r="A325" s="38">
        <v>45383</v>
      </c>
      <c r="B325" s="30">
        <v>10803.9</v>
      </c>
      <c r="C325" s="43">
        <f t="shared" ref="C325:C388" si="15">LN(B325/B324)</f>
        <v>0.21896629979738749</v>
      </c>
      <c r="D325" s="29">
        <v>13.91</v>
      </c>
      <c r="E325" s="43">
        <f t="shared" ref="E325:E388" si="16">LN(D325/D324)</f>
        <v>-6.5391859313357087E-2</v>
      </c>
      <c r="F325" s="77">
        <f t="shared" ref="F325:F388" si="17">C325-E325</f>
        <v>0.28435815911074458</v>
      </c>
    </row>
    <row r="326" spans="1:6" x14ac:dyDescent="0.2">
      <c r="A326" s="38">
        <v>45385</v>
      </c>
      <c r="B326" s="30">
        <v>10472.6</v>
      </c>
      <c r="C326" s="43">
        <f t="shared" si="15"/>
        <v>-3.1144857444563058E-2</v>
      </c>
      <c r="D326" s="29">
        <v>13.82</v>
      </c>
      <c r="E326" s="43">
        <f t="shared" si="16"/>
        <v>-6.4911875958277472E-3</v>
      </c>
      <c r="F326" s="77">
        <f t="shared" si="17"/>
        <v>-2.4653669848735311E-2</v>
      </c>
    </row>
    <row r="327" spans="1:6" x14ac:dyDescent="0.2">
      <c r="A327" s="38">
        <v>45386</v>
      </c>
      <c r="B327" s="30">
        <v>10919.6</v>
      </c>
      <c r="C327" s="43">
        <f t="shared" si="15"/>
        <v>4.1797016997435786E-2</v>
      </c>
      <c r="D327" s="29">
        <v>14.94</v>
      </c>
      <c r="E327" s="43">
        <f t="shared" si="16"/>
        <v>7.7925361365147452E-2</v>
      </c>
      <c r="F327" s="77">
        <f t="shared" si="17"/>
        <v>-3.6128344367711666E-2</v>
      </c>
    </row>
    <row r="328" spans="1:6" x14ac:dyDescent="0.2">
      <c r="A328" s="38">
        <v>45388</v>
      </c>
      <c r="B328" s="30">
        <v>10095.5</v>
      </c>
      <c r="C328" s="43">
        <f t="shared" si="15"/>
        <v>-7.8469559600941013E-2</v>
      </c>
      <c r="D328" s="29">
        <v>14.09</v>
      </c>
      <c r="E328" s="43">
        <f t="shared" si="16"/>
        <v>-5.8576853794082326E-2</v>
      </c>
      <c r="F328" s="77">
        <f t="shared" si="17"/>
        <v>-1.9892705806858688E-2</v>
      </c>
    </row>
    <row r="329" spans="1:6" x14ac:dyDescent="0.2">
      <c r="A329" s="38">
        <v>45389</v>
      </c>
      <c r="B329" s="30">
        <v>10446.1</v>
      </c>
      <c r="C329" s="43">
        <f t="shared" si="15"/>
        <v>3.4138923002306712E-2</v>
      </c>
      <c r="D329" s="29">
        <v>14.16</v>
      </c>
      <c r="E329" s="43">
        <f t="shared" si="16"/>
        <v>4.9557623549848504E-3</v>
      </c>
      <c r="F329" s="77">
        <f t="shared" si="17"/>
        <v>2.9183160647321862E-2</v>
      </c>
    </row>
    <row r="330" spans="1:6" x14ac:dyDescent="0.2">
      <c r="A330" s="38">
        <v>45391</v>
      </c>
      <c r="B330" s="30">
        <v>9090.4</v>
      </c>
      <c r="C330" s="43">
        <f t="shared" si="15"/>
        <v>-0.13900979138893635</v>
      </c>
      <c r="D330" s="29">
        <v>13.45</v>
      </c>
      <c r="E330" s="43">
        <f t="shared" si="16"/>
        <v>-5.144198221772564E-2</v>
      </c>
      <c r="F330" s="77">
        <f t="shared" si="17"/>
        <v>-8.7567809171210709E-2</v>
      </c>
    </row>
    <row r="331" spans="1:6" x14ac:dyDescent="0.2">
      <c r="A331" s="38">
        <v>45392</v>
      </c>
      <c r="B331" s="30">
        <v>9495.2000000000007</v>
      </c>
      <c r="C331" s="43">
        <f t="shared" si="15"/>
        <v>4.3567496138496309E-2</v>
      </c>
      <c r="D331" s="29">
        <v>12.14</v>
      </c>
      <c r="E331" s="43">
        <f t="shared" si="16"/>
        <v>-0.10247332041649579</v>
      </c>
      <c r="F331" s="77">
        <f t="shared" si="17"/>
        <v>0.1460408165549921</v>
      </c>
    </row>
    <row r="332" spans="1:6" x14ac:dyDescent="0.2">
      <c r="A332" s="38">
        <v>45393</v>
      </c>
      <c r="B332" s="30">
        <v>8689.6</v>
      </c>
      <c r="C332" s="43">
        <f t="shared" si="15"/>
        <v>-8.86594994617146E-2</v>
      </c>
      <c r="D332" s="29">
        <v>14.8</v>
      </c>
      <c r="E332" s="43">
        <f t="shared" si="16"/>
        <v>0.19812139513871721</v>
      </c>
      <c r="F332" s="77">
        <f t="shared" si="17"/>
        <v>-0.28678089460043182</v>
      </c>
    </row>
    <row r="333" spans="1:6" x14ac:dyDescent="0.2">
      <c r="A333" s="38">
        <v>45394</v>
      </c>
      <c r="B333" s="30">
        <v>8700.9</v>
      </c>
      <c r="C333" s="43">
        <f t="shared" si="15"/>
        <v>1.2995602875523606E-3</v>
      </c>
      <c r="D333" s="29">
        <v>13.67</v>
      </c>
      <c r="E333" s="43">
        <f t="shared" si="16"/>
        <v>-7.9423530034211237E-2</v>
      </c>
      <c r="F333" s="77">
        <f t="shared" si="17"/>
        <v>8.0723090321763599E-2</v>
      </c>
    </row>
    <row r="334" spans="1:6" x14ac:dyDescent="0.2">
      <c r="A334" s="38">
        <v>45413</v>
      </c>
      <c r="B334" s="30">
        <v>10744.3</v>
      </c>
      <c r="C334" s="43">
        <f t="shared" si="15"/>
        <v>0.2109489128065424</v>
      </c>
      <c r="D334" s="29">
        <v>13.87</v>
      </c>
      <c r="E334" s="43">
        <f t="shared" si="16"/>
        <v>1.4524583590881962E-2</v>
      </c>
      <c r="F334" s="77">
        <f t="shared" si="17"/>
        <v>0.19642432921566044</v>
      </c>
    </row>
    <row r="335" spans="1:6" x14ac:dyDescent="0.2">
      <c r="A335" s="38">
        <v>45414</v>
      </c>
      <c r="B335" s="30">
        <v>11113.3</v>
      </c>
      <c r="C335" s="43">
        <f t="shared" si="15"/>
        <v>3.3767207857381437E-2</v>
      </c>
      <c r="D335" s="29">
        <v>13.67</v>
      </c>
      <c r="E335" s="43">
        <f t="shared" si="16"/>
        <v>-1.4524583590882028E-2</v>
      </c>
      <c r="F335" s="77">
        <f t="shared" si="17"/>
        <v>4.8291791448263469E-2</v>
      </c>
    </row>
    <row r="336" spans="1:6" x14ac:dyDescent="0.2">
      <c r="A336" s="38">
        <v>45415</v>
      </c>
      <c r="B336" s="30">
        <v>10409.4</v>
      </c>
      <c r="C336" s="43">
        <f t="shared" si="15"/>
        <v>-6.5433345171719851E-2</v>
      </c>
      <c r="D336" s="29">
        <v>15.06</v>
      </c>
      <c r="E336" s="43">
        <f t="shared" si="16"/>
        <v>9.6838571635889367E-2</v>
      </c>
      <c r="F336" s="77">
        <f t="shared" si="17"/>
        <v>-0.16227191680760922</v>
      </c>
    </row>
    <row r="337" spans="1:6" x14ac:dyDescent="0.2">
      <c r="A337" s="38">
        <v>45416</v>
      </c>
      <c r="B337" s="30">
        <v>10917.3</v>
      </c>
      <c r="C337" s="43">
        <f t="shared" si="15"/>
        <v>4.7639442919306017E-2</v>
      </c>
      <c r="D337" s="29">
        <v>13.61</v>
      </c>
      <c r="E337" s="43">
        <f t="shared" si="16"/>
        <v>-0.10123740570837285</v>
      </c>
      <c r="F337" s="77">
        <f t="shared" si="17"/>
        <v>0.14887684862767886</v>
      </c>
    </row>
    <row r="338" spans="1:6" x14ac:dyDescent="0.2">
      <c r="A338" s="38">
        <v>45418</v>
      </c>
      <c r="B338" s="30">
        <v>10003.299999999999</v>
      </c>
      <c r="C338" s="43">
        <f t="shared" si="15"/>
        <v>-8.743364844148456E-2</v>
      </c>
      <c r="D338" s="29">
        <v>13.48</v>
      </c>
      <c r="E338" s="43">
        <f t="shared" si="16"/>
        <v>-9.5977111792136284E-3</v>
      </c>
      <c r="F338" s="77">
        <f t="shared" si="17"/>
        <v>-7.7835937262270935E-2</v>
      </c>
    </row>
    <row r="339" spans="1:6" x14ac:dyDescent="0.2">
      <c r="A339" s="38">
        <v>45419</v>
      </c>
      <c r="B339" s="30">
        <v>10439.6</v>
      </c>
      <c r="C339" s="43">
        <f t="shared" si="15"/>
        <v>4.2691228988219088E-2</v>
      </c>
      <c r="D339" s="29">
        <v>14.18</v>
      </c>
      <c r="E339" s="43">
        <f t="shared" si="16"/>
        <v>5.0625415619820431E-2</v>
      </c>
      <c r="F339" s="77">
        <f t="shared" si="17"/>
        <v>-7.9341866316013435E-3</v>
      </c>
    </row>
    <row r="340" spans="1:6" x14ac:dyDescent="0.2">
      <c r="A340" s="38">
        <v>45420</v>
      </c>
      <c r="B340" s="30">
        <v>9442.4</v>
      </c>
      <c r="C340" s="43">
        <f t="shared" si="15"/>
        <v>-0.10039608241151855</v>
      </c>
      <c r="D340" s="29">
        <v>13.5</v>
      </c>
      <c r="E340" s="43">
        <f t="shared" si="16"/>
        <v>-4.9142835659597595E-2</v>
      </c>
      <c r="F340" s="77">
        <f t="shared" si="17"/>
        <v>-5.1253246751920958E-2</v>
      </c>
    </row>
    <row r="341" spans="1:6" x14ac:dyDescent="0.2">
      <c r="A341" s="38">
        <v>45421</v>
      </c>
      <c r="B341" s="30">
        <v>8739.6</v>
      </c>
      <c r="C341" s="43">
        <f t="shared" si="15"/>
        <v>-7.734576310298942E-2</v>
      </c>
      <c r="D341" s="29">
        <v>12.15</v>
      </c>
      <c r="E341" s="43">
        <f t="shared" si="16"/>
        <v>-0.10536051565782628</v>
      </c>
      <c r="F341" s="77">
        <f t="shared" si="17"/>
        <v>2.8014752554836861E-2</v>
      </c>
    </row>
    <row r="342" spans="1:6" x14ac:dyDescent="0.2">
      <c r="A342" s="38">
        <v>45423</v>
      </c>
      <c r="B342" s="30">
        <v>8650</v>
      </c>
      <c r="C342" s="43">
        <f t="shared" si="15"/>
        <v>-1.0305101085944844E-2</v>
      </c>
      <c r="D342" s="29">
        <v>13.91</v>
      </c>
      <c r="E342" s="43">
        <f t="shared" si="16"/>
        <v>0.13527883614879405</v>
      </c>
      <c r="F342" s="77">
        <f t="shared" si="17"/>
        <v>-0.14558393723473889</v>
      </c>
    </row>
    <row r="343" spans="1:6" x14ac:dyDescent="0.2">
      <c r="A343" s="38">
        <v>45424</v>
      </c>
      <c r="B343" s="30">
        <v>8618.2000000000007</v>
      </c>
      <c r="C343" s="43">
        <f t="shared" si="15"/>
        <v>-3.6830747787663541E-3</v>
      </c>
      <c r="D343" s="29">
        <v>14.08</v>
      </c>
      <c r="E343" s="43">
        <f t="shared" si="16"/>
        <v>1.2147344794544759E-2</v>
      </c>
      <c r="F343" s="77">
        <f t="shared" si="17"/>
        <v>-1.5830419573311112E-2</v>
      </c>
    </row>
    <row r="344" spans="1:6" x14ac:dyDescent="0.2">
      <c r="A344" s="38">
        <v>45445</v>
      </c>
      <c r="B344" s="30">
        <v>11161.6</v>
      </c>
      <c r="C344" s="43">
        <f t="shared" si="15"/>
        <v>0.25860306968739261</v>
      </c>
      <c r="D344" s="29">
        <v>13.91</v>
      </c>
      <c r="E344" s="43">
        <f t="shared" si="16"/>
        <v>-1.2147344794544811E-2</v>
      </c>
      <c r="F344" s="77">
        <f t="shared" si="17"/>
        <v>0.27075041448193743</v>
      </c>
    </row>
    <row r="345" spans="1:6" x14ac:dyDescent="0.2">
      <c r="A345" s="38">
        <v>45446</v>
      </c>
      <c r="B345" s="30">
        <v>10462.700000000001</v>
      </c>
      <c r="C345" s="43">
        <f t="shared" si="15"/>
        <v>-6.4662764329442984E-2</v>
      </c>
      <c r="D345" s="29">
        <v>14.91</v>
      </c>
      <c r="E345" s="43">
        <f t="shared" si="16"/>
        <v>6.9424122841295455E-2</v>
      </c>
      <c r="F345" s="77">
        <f t="shared" si="17"/>
        <v>-0.13408688717073844</v>
      </c>
    </row>
    <row r="346" spans="1:6" x14ac:dyDescent="0.2">
      <c r="A346" s="38">
        <v>45448</v>
      </c>
      <c r="B346" s="30">
        <v>10090.200000000001</v>
      </c>
      <c r="C346" s="43">
        <f t="shared" si="15"/>
        <v>-3.6251895748348785E-2</v>
      </c>
      <c r="D346" s="29">
        <v>13.55</v>
      </c>
      <c r="E346" s="43">
        <f t="shared" si="16"/>
        <v>-9.5645581450937114E-2</v>
      </c>
      <c r="F346" s="77">
        <f t="shared" si="17"/>
        <v>5.9393685702588329E-2</v>
      </c>
    </row>
    <row r="347" spans="1:6" x14ac:dyDescent="0.2">
      <c r="A347" s="38">
        <v>45449</v>
      </c>
      <c r="B347" s="30">
        <v>10004.6</v>
      </c>
      <c r="C347" s="43">
        <f t="shared" si="15"/>
        <v>-8.5196685481423833E-3</v>
      </c>
      <c r="D347" s="29">
        <v>13.89</v>
      </c>
      <c r="E347" s="43">
        <f t="shared" si="16"/>
        <v>2.4782609440542377E-2</v>
      </c>
      <c r="F347" s="77">
        <f t="shared" si="17"/>
        <v>-3.3302277988684764E-2</v>
      </c>
    </row>
    <row r="348" spans="1:6" x14ac:dyDescent="0.2">
      <c r="A348" s="38">
        <v>45451</v>
      </c>
      <c r="B348" s="30">
        <v>9254.9</v>
      </c>
      <c r="C348" s="43">
        <f t="shared" si="15"/>
        <v>-7.7891846229679568E-2</v>
      </c>
      <c r="D348" s="29">
        <v>12.51</v>
      </c>
      <c r="E348" s="43">
        <f t="shared" si="16"/>
        <v>-0.10464083228743266</v>
      </c>
      <c r="F348" s="77">
        <f t="shared" si="17"/>
        <v>2.6748986057753096E-2</v>
      </c>
    </row>
    <row r="349" spans="1:6" x14ac:dyDescent="0.2">
      <c r="A349" s="38">
        <v>45452</v>
      </c>
      <c r="B349" s="30">
        <v>8476.7000000000007</v>
      </c>
      <c r="C349" s="43">
        <f t="shared" si="15"/>
        <v>-8.7831917875263038E-2</v>
      </c>
      <c r="D349" s="29">
        <v>12.1</v>
      </c>
      <c r="E349" s="43">
        <f t="shared" si="16"/>
        <v>-3.3322871876124427E-2</v>
      </c>
      <c r="F349" s="77">
        <f t="shared" si="17"/>
        <v>-5.4509045999138611E-2</v>
      </c>
    </row>
    <row r="350" spans="1:6" x14ac:dyDescent="0.2">
      <c r="A350" s="38">
        <v>45454</v>
      </c>
      <c r="B350" s="30">
        <v>8544.2999999999993</v>
      </c>
      <c r="C350" s="43">
        <f t="shared" si="15"/>
        <v>7.9431708394277663E-3</v>
      </c>
      <c r="D350" s="29">
        <v>14.26</v>
      </c>
      <c r="E350" s="43">
        <f t="shared" si="16"/>
        <v>0.16425296238345441</v>
      </c>
      <c r="F350" s="77">
        <f t="shared" si="17"/>
        <v>-0.15630979154402663</v>
      </c>
    </row>
    <row r="351" spans="1:6" x14ac:dyDescent="0.2">
      <c r="A351" s="38">
        <v>45455</v>
      </c>
      <c r="B351" s="30">
        <v>8513.7999999999993</v>
      </c>
      <c r="C351" s="43">
        <f t="shared" si="15"/>
        <v>-3.5760175520809776E-3</v>
      </c>
      <c r="D351" s="29">
        <v>14.27</v>
      </c>
      <c r="E351" s="43">
        <f t="shared" si="16"/>
        <v>7.0101650259507368E-4</v>
      </c>
      <c r="F351" s="77">
        <f t="shared" si="17"/>
        <v>-4.2770340546760509E-3</v>
      </c>
    </row>
    <row r="352" spans="1:6" x14ac:dyDescent="0.2">
      <c r="A352" s="38">
        <v>45475</v>
      </c>
      <c r="B352" s="30">
        <v>11055.4</v>
      </c>
      <c r="C352" s="43">
        <f t="shared" si="15"/>
        <v>0.26123061996869645</v>
      </c>
      <c r="D352" s="29">
        <v>13.96</v>
      </c>
      <c r="E352" s="43">
        <f t="shared" si="16"/>
        <v>-2.1963334154518552E-2</v>
      </c>
      <c r="F352" s="77">
        <f t="shared" si="17"/>
        <v>0.28319395412321502</v>
      </c>
    </row>
    <row r="353" spans="1:6" x14ac:dyDescent="0.2">
      <c r="A353" s="38">
        <v>45476</v>
      </c>
      <c r="B353" s="30">
        <v>10342.799999999999</v>
      </c>
      <c r="C353" s="43">
        <f t="shared" si="15"/>
        <v>-6.6628370918363822E-2</v>
      </c>
      <c r="D353" s="29">
        <v>14.53</v>
      </c>
      <c r="E353" s="43">
        <f t="shared" si="16"/>
        <v>4.00193802479651E-2</v>
      </c>
      <c r="F353" s="77">
        <f t="shared" si="17"/>
        <v>-0.10664775116632892</v>
      </c>
    </row>
    <row r="354" spans="1:6" x14ac:dyDescent="0.2">
      <c r="A354" s="38">
        <v>45478</v>
      </c>
      <c r="B354" s="30">
        <v>10261</v>
      </c>
      <c r="C354" s="43">
        <f t="shared" si="15"/>
        <v>-7.940324579144644E-3</v>
      </c>
      <c r="D354" s="29">
        <v>13.68</v>
      </c>
      <c r="E354" s="43">
        <f t="shared" si="16"/>
        <v>-6.0280565387787088E-2</v>
      </c>
      <c r="F354" s="77">
        <f t="shared" si="17"/>
        <v>5.2340240808642441E-2</v>
      </c>
    </row>
    <row r="355" spans="1:6" x14ac:dyDescent="0.2">
      <c r="A355" s="38">
        <v>45479</v>
      </c>
      <c r="B355" s="30">
        <v>10012.799999999999</v>
      </c>
      <c r="C355" s="43">
        <f t="shared" si="15"/>
        <v>-2.4486026387646246E-2</v>
      </c>
      <c r="D355" s="29">
        <v>14.15</v>
      </c>
      <c r="E355" s="43">
        <f t="shared" si="16"/>
        <v>3.3779711894842315E-2</v>
      </c>
      <c r="F355" s="77">
        <f t="shared" si="17"/>
        <v>-5.8265738282488558E-2</v>
      </c>
    </row>
    <row r="356" spans="1:6" x14ac:dyDescent="0.2">
      <c r="A356" s="38">
        <v>45481</v>
      </c>
      <c r="B356" s="30">
        <v>9337.7000000000007</v>
      </c>
      <c r="C356" s="43">
        <f t="shared" si="15"/>
        <v>-6.9804305253502952E-2</v>
      </c>
      <c r="D356" s="29">
        <v>12.67</v>
      </c>
      <c r="E356" s="43">
        <f t="shared" si="16"/>
        <v>-0.11047762975619901</v>
      </c>
      <c r="F356" s="77">
        <f t="shared" si="17"/>
        <v>4.0673324502696062E-2</v>
      </c>
    </row>
    <row r="357" spans="1:6" x14ac:dyDescent="0.2">
      <c r="A357" s="38">
        <v>45483</v>
      </c>
      <c r="B357" s="30">
        <v>9515.7000000000007</v>
      </c>
      <c r="C357" s="43">
        <f t="shared" si="15"/>
        <v>1.8883096853640292E-2</v>
      </c>
      <c r="D357" s="29">
        <v>14.9</v>
      </c>
      <c r="E357" s="43">
        <f t="shared" si="16"/>
        <v>0.16212421861836585</v>
      </c>
      <c r="F357" s="77">
        <f t="shared" si="17"/>
        <v>-0.14324112176472556</v>
      </c>
    </row>
    <row r="358" spans="1:6" x14ac:dyDescent="0.2">
      <c r="A358" s="38">
        <v>45484</v>
      </c>
      <c r="B358" s="30">
        <v>8740.2000000000007</v>
      </c>
      <c r="C358" s="43">
        <f t="shared" si="15"/>
        <v>-8.5009993391743199E-2</v>
      </c>
      <c r="D358" s="29">
        <v>14.18</v>
      </c>
      <c r="E358" s="43">
        <f t="shared" si="16"/>
        <v>-4.9528691847432034E-2</v>
      </c>
      <c r="F358" s="77">
        <f t="shared" si="17"/>
        <v>-3.5481301544311165E-2</v>
      </c>
    </row>
    <row r="359" spans="1:6" x14ac:dyDescent="0.2">
      <c r="A359" s="38">
        <v>45505</v>
      </c>
      <c r="B359" s="30">
        <v>10740.6</v>
      </c>
      <c r="C359" s="43">
        <f t="shared" si="15"/>
        <v>0.2060978807412438</v>
      </c>
      <c r="D359" s="29">
        <v>14.34</v>
      </c>
      <c r="E359" s="43">
        <f t="shared" si="16"/>
        <v>1.1220314067492842E-2</v>
      </c>
      <c r="F359" s="77">
        <f t="shared" si="17"/>
        <v>0.19487756667375095</v>
      </c>
    </row>
    <row r="360" spans="1:6" x14ac:dyDescent="0.2">
      <c r="A360" s="38">
        <v>45506</v>
      </c>
      <c r="B360" s="30">
        <v>10997.5</v>
      </c>
      <c r="C360" s="43">
        <f t="shared" si="15"/>
        <v>2.3637020798673969E-2</v>
      </c>
      <c r="D360" s="29">
        <v>13.77</v>
      </c>
      <c r="E360" s="43">
        <f t="shared" si="16"/>
        <v>-4.0560522430910843E-2</v>
      </c>
      <c r="F360" s="77">
        <f t="shared" si="17"/>
        <v>6.4197543229584819E-2</v>
      </c>
    </row>
    <row r="361" spans="1:6" x14ac:dyDescent="0.2">
      <c r="A361" s="38">
        <v>45507</v>
      </c>
      <c r="B361" s="30">
        <v>10448.200000000001</v>
      </c>
      <c r="C361" s="43">
        <f t="shared" si="15"/>
        <v>-5.1238259470274446E-2</v>
      </c>
      <c r="D361" s="29">
        <v>13.85</v>
      </c>
      <c r="E361" s="43">
        <f t="shared" si="16"/>
        <v>5.7929198927841059E-3</v>
      </c>
      <c r="F361" s="77">
        <f t="shared" si="17"/>
        <v>-5.703117936305855E-2</v>
      </c>
    </row>
    <row r="362" spans="1:6" x14ac:dyDescent="0.2">
      <c r="A362" s="38">
        <v>45508</v>
      </c>
      <c r="B362" s="30">
        <v>10781.6</v>
      </c>
      <c r="C362" s="43">
        <f t="shared" si="15"/>
        <v>3.1411262702349022E-2</v>
      </c>
      <c r="D362" s="29">
        <v>13.7</v>
      </c>
      <c r="E362" s="43">
        <f t="shared" si="16"/>
        <v>-1.0889399799268319E-2</v>
      </c>
      <c r="F362" s="77">
        <f t="shared" si="17"/>
        <v>4.2300662501617341E-2</v>
      </c>
    </row>
    <row r="363" spans="1:6" x14ac:dyDescent="0.2">
      <c r="A363" s="38">
        <v>45509</v>
      </c>
      <c r="B363" s="30">
        <v>10257.200000000001</v>
      </c>
      <c r="C363" s="43">
        <f t="shared" si="15"/>
        <v>-4.9861079458824641E-2</v>
      </c>
      <c r="D363" s="29">
        <v>13.91</v>
      </c>
      <c r="E363" s="43">
        <f t="shared" si="16"/>
        <v>1.5212173101272368E-2</v>
      </c>
      <c r="F363" s="77">
        <f t="shared" si="17"/>
        <v>-6.5073252560097009E-2</v>
      </c>
    </row>
    <row r="364" spans="1:6" x14ac:dyDescent="0.2">
      <c r="A364" s="38">
        <v>45511</v>
      </c>
      <c r="B364" s="30">
        <v>10288.4</v>
      </c>
      <c r="C364" s="43">
        <f t="shared" si="15"/>
        <v>3.0371489742920025E-3</v>
      </c>
      <c r="D364" s="29">
        <v>13.96</v>
      </c>
      <c r="E364" s="43">
        <f t="shared" si="16"/>
        <v>3.5880913988748475E-3</v>
      </c>
      <c r="F364" s="77">
        <f t="shared" si="17"/>
        <v>-5.5094242458284502E-4</v>
      </c>
    </row>
    <row r="365" spans="1:6" x14ac:dyDescent="0.2">
      <c r="A365" s="38">
        <v>45512</v>
      </c>
      <c r="B365" s="30">
        <v>9230.2999999999993</v>
      </c>
      <c r="C365" s="43">
        <f t="shared" si="15"/>
        <v>-0.10852549629316172</v>
      </c>
      <c r="D365" s="29">
        <v>12.38</v>
      </c>
      <c r="E365" s="43">
        <f t="shared" si="16"/>
        <v>-0.12011383007777636</v>
      </c>
      <c r="F365" s="77">
        <f t="shared" si="17"/>
        <v>1.1588333784614643E-2</v>
      </c>
    </row>
    <row r="366" spans="1:6" x14ac:dyDescent="0.2">
      <c r="A366" s="38">
        <v>45514</v>
      </c>
      <c r="B366" s="30">
        <v>9425</v>
      </c>
      <c r="C366" s="43">
        <f t="shared" si="15"/>
        <v>2.0874182638956199E-2</v>
      </c>
      <c r="D366" s="29">
        <v>14.85</v>
      </c>
      <c r="E366" s="43">
        <f t="shared" si="16"/>
        <v>0.18191759799225848</v>
      </c>
      <c r="F366" s="77">
        <f t="shared" si="17"/>
        <v>-0.1610434153533023</v>
      </c>
    </row>
    <row r="367" spans="1:6" x14ac:dyDescent="0.2">
      <c r="A367" s="38">
        <v>45515</v>
      </c>
      <c r="B367" s="30">
        <v>8698</v>
      </c>
      <c r="C367" s="43">
        <f t="shared" si="15"/>
        <v>-8.027261915862785E-2</v>
      </c>
      <c r="D367" s="29">
        <v>14.39</v>
      </c>
      <c r="E367" s="43">
        <f t="shared" si="16"/>
        <v>-3.1466344349432074E-2</v>
      </c>
      <c r="F367" s="77">
        <f t="shared" si="17"/>
        <v>-4.8806274809195777E-2</v>
      </c>
    </row>
    <row r="368" spans="1:6" x14ac:dyDescent="0.2">
      <c r="A368" s="38">
        <v>45536</v>
      </c>
      <c r="B368" s="30">
        <v>10730</v>
      </c>
      <c r="C368" s="43">
        <f t="shared" si="15"/>
        <v>0.20995044246716046</v>
      </c>
      <c r="D368" s="29">
        <v>14.2</v>
      </c>
      <c r="E368" s="43">
        <f t="shared" si="16"/>
        <v>-1.3291556292061439E-2</v>
      </c>
      <c r="F368" s="77">
        <f t="shared" si="17"/>
        <v>0.2232419987592219</v>
      </c>
    </row>
    <row r="369" spans="1:6" x14ac:dyDescent="0.2">
      <c r="A369" s="38">
        <v>45537</v>
      </c>
      <c r="B369" s="30">
        <v>10852</v>
      </c>
      <c r="C369" s="43">
        <f t="shared" si="15"/>
        <v>1.1305838154078205E-2</v>
      </c>
      <c r="D369" s="29">
        <v>13.95</v>
      </c>
      <c r="E369" s="43">
        <f t="shared" si="16"/>
        <v>-1.7762456339840388E-2</v>
      </c>
      <c r="F369" s="77">
        <f t="shared" si="17"/>
        <v>2.9068294493918595E-2</v>
      </c>
    </row>
    <row r="370" spans="1:6" x14ac:dyDescent="0.2">
      <c r="A370" s="38">
        <v>45539</v>
      </c>
      <c r="B370" s="30">
        <v>10765.9</v>
      </c>
      <c r="C370" s="43">
        <f t="shared" si="15"/>
        <v>-7.9656632018942145E-3</v>
      </c>
      <c r="D370" s="29">
        <v>13.7</v>
      </c>
      <c r="E370" s="43">
        <f t="shared" si="16"/>
        <v>-1.8083675433295351E-2</v>
      </c>
      <c r="F370" s="77">
        <f t="shared" si="17"/>
        <v>1.0118012231401137E-2</v>
      </c>
    </row>
    <row r="371" spans="1:6" x14ac:dyDescent="0.2">
      <c r="A371" s="38">
        <v>45540</v>
      </c>
      <c r="B371" s="30">
        <v>10314.200000000001</v>
      </c>
      <c r="C371" s="43">
        <f t="shared" si="15"/>
        <v>-4.2862145035161635E-2</v>
      </c>
      <c r="D371" s="29">
        <v>13.85</v>
      </c>
      <c r="E371" s="43">
        <f t="shared" si="16"/>
        <v>1.0889399799268317E-2</v>
      </c>
      <c r="F371" s="77">
        <f t="shared" si="17"/>
        <v>-5.3751544834429954E-2</v>
      </c>
    </row>
    <row r="372" spans="1:6" x14ac:dyDescent="0.2">
      <c r="A372" s="38">
        <v>45542</v>
      </c>
      <c r="B372" s="30">
        <v>10303.4</v>
      </c>
      <c r="C372" s="43">
        <f t="shared" si="15"/>
        <v>-1.0476487067177299E-3</v>
      </c>
      <c r="D372" s="29">
        <v>13.87</v>
      </c>
      <c r="E372" s="43">
        <f t="shared" si="16"/>
        <v>1.4430016933927351E-3</v>
      </c>
      <c r="F372" s="77">
        <f t="shared" si="17"/>
        <v>-2.4906504001104652E-3</v>
      </c>
    </row>
    <row r="373" spans="1:6" x14ac:dyDescent="0.2">
      <c r="A373" s="38">
        <v>45543</v>
      </c>
      <c r="B373" s="30">
        <v>9383.2999999999993</v>
      </c>
      <c r="C373" s="43">
        <f t="shared" si="15"/>
        <v>-9.3542424339500441E-2</v>
      </c>
      <c r="D373" s="29">
        <v>13.92</v>
      </c>
      <c r="E373" s="43">
        <f t="shared" si="16"/>
        <v>3.5984205795333117E-3</v>
      </c>
      <c r="F373" s="77">
        <f t="shared" si="17"/>
        <v>-9.7140844919033756E-2</v>
      </c>
    </row>
    <row r="374" spans="1:6" x14ac:dyDescent="0.2">
      <c r="A374" s="38">
        <v>45544</v>
      </c>
      <c r="B374" s="30">
        <v>8410.2999999999993</v>
      </c>
      <c r="C374" s="43">
        <f t="shared" si="15"/>
        <v>-0.10947436834551615</v>
      </c>
      <c r="D374" s="29">
        <v>12.34</v>
      </c>
      <c r="E374" s="43">
        <f t="shared" si="16"/>
        <v>-0.12048063642903185</v>
      </c>
      <c r="F374" s="77">
        <f t="shared" si="17"/>
        <v>1.1006268083515708E-2</v>
      </c>
    </row>
    <row r="375" spans="1:6" x14ac:dyDescent="0.2">
      <c r="A375" s="38">
        <v>45545</v>
      </c>
      <c r="B375" s="30">
        <v>9193.7999999999993</v>
      </c>
      <c r="C375" s="43">
        <f t="shared" si="15"/>
        <v>8.9072198662153226E-2</v>
      </c>
      <c r="D375" s="29">
        <v>14.85</v>
      </c>
      <c r="E375" s="43">
        <f t="shared" si="16"/>
        <v>0.18515384677146685</v>
      </c>
      <c r="F375" s="77">
        <f t="shared" si="17"/>
        <v>-9.6081648109313619E-2</v>
      </c>
    </row>
    <row r="376" spans="1:6" x14ac:dyDescent="0.2">
      <c r="A376" s="38">
        <v>45547</v>
      </c>
      <c r="B376" s="30">
        <v>8424</v>
      </c>
      <c r="C376" s="43">
        <f t="shared" si="15"/>
        <v>-8.7444568998374023E-2</v>
      </c>
      <c r="D376" s="29">
        <v>13.81</v>
      </c>
      <c r="E376" s="43">
        <f t="shared" si="16"/>
        <v>-7.2606897827507844E-2</v>
      </c>
      <c r="F376" s="77">
        <f t="shared" si="17"/>
        <v>-1.4837671170866179E-2</v>
      </c>
    </row>
    <row r="377" spans="1:6" x14ac:dyDescent="0.2">
      <c r="A377" s="38">
        <v>45566</v>
      </c>
      <c r="B377" s="30">
        <v>10705.5</v>
      </c>
      <c r="C377" s="43">
        <f t="shared" si="15"/>
        <v>0.23967285326542026</v>
      </c>
      <c r="D377" s="29">
        <v>13.84</v>
      </c>
      <c r="E377" s="43">
        <f t="shared" si="16"/>
        <v>2.1699827683227275E-3</v>
      </c>
      <c r="F377" s="77">
        <f t="shared" si="17"/>
        <v>0.23750287049709753</v>
      </c>
    </row>
    <row r="378" spans="1:6" x14ac:dyDescent="0.2">
      <c r="A378" s="38">
        <v>45569</v>
      </c>
      <c r="B378" s="30">
        <v>10726.5</v>
      </c>
      <c r="C378" s="43">
        <f t="shared" si="15"/>
        <v>1.9596870773285393E-3</v>
      </c>
      <c r="D378" s="29">
        <v>14.78</v>
      </c>
      <c r="E378" s="43">
        <f t="shared" si="16"/>
        <v>6.571196533053221E-2</v>
      </c>
      <c r="F378" s="77">
        <f t="shared" si="17"/>
        <v>-6.3752278253203676E-2</v>
      </c>
    </row>
    <row r="379" spans="1:6" x14ac:dyDescent="0.2">
      <c r="A379" s="38">
        <v>45570</v>
      </c>
      <c r="B379" s="30">
        <v>10507.5</v>
      </c>
      <c r="C379" s="43">
        <f t="shared" si="15"/>
        <v>-2.0628027277288564E-2</v>
      </c>
      <c r="D379" s="29">
        <v>13.86</v>
      </c>
      <c r="E379" s="43">
        <f t="shared" si="16"/>
        <v>-6.4267921758298499E-2</v>
      </c>
      <c r="F379" s="77">
        <f t="shared" si="17"/>
        <v>4.3639894481009939E-2</v>
      </c>
    </row>
    <row r="380" spans="1:6" x14ac:dyDescent="0.2">
      <c r="A380" s="38">
        <v>45572</v>
      </c>
      <c r="B380" s="30">
        <v>10237.200000000001</v>
      </c>
      <c r="C380" s="43">
        <f t="shared" si="15"/>
        <v>-2.6061143176622344E-2</v>
      </c>
      <c r="D380" s="29">
        <v>13.88</v>
      </c>
      <c r="E380" s="43">
        <f t="shared" si="16"/>
        <v>1.4419613169014058E-3</v>
      </c>
      <c r="F380" s="77">
        <f t="shared" si="17"/>
        <v>-2.750310449352375E-2</v>
      </c>
    </row>
    <row r="381" spans="1:6" x14ac:dyDescent="0.2">
      <c r="A381" s="38">
        <v>45574</v>
      </c>
      <c r="B381" s="30">
        <v>8488.5</v>
      </c>
      <c r="C381" s="43">
        <f t="shared" si="15"/>
        <v>-0.18731583845196123</v>
      </c>
      <c r="D381" s="29">
        <v>13.58</v>
      </c>
      <c r="E381" s="43">
        <f t="shared" si="16"/>
        <v>-2.1850832948108422E-2</v>
      </c>
      <c r="F381" s="77">
        <f t="shared" si="17"/>
        <v>-0.16546500550385282</v>
      </c>
    </row>
    <row r="382" spans="1:6" x14ac:dyDescent="0.2">
      <c r="A382" s="38">
        <v>45575</v>
      </c>
      <c r="B382" s="30">
        <v>9283.7999999999993</v>
      </c>
      <c r="C382" s="43">
        <f t="shared" si="15"/>
        <v>8.9558639472993737E-2</v>
      </c>
      <c r="D382" s="29">
        <v>12.18</v>
      </c>
      <c r="E382" s="43">
        <f t="shared" si="16"/>
        <v>-0.10880285984879919</v>
      </c>
      <c r="F382" s="77">
        <f t="shared" si="17"/>
        <v>0.19836149932179292</v>
      </c>
    </row>
    <row r="383" spans="1:6" x14ac:dyDescent="0.2">
      <c r="A383" s="38">
        <v>45577</v>
      </c>
      <c r="B383" s="30">
        <v>8535.2999999999993</v>
      </c>
      <c r="C383" s="43">
        <f t="shared" si="15"/>
        <v>-8.4060440727980384E-2</v>
      </c>
      <c r="D383" s="29">
        <v>14.65</v>
      </c>
      <c r="E383" s="43">
        <f t="shared" si="16"/>
        <v>0.18464507318132536</v>
      </c>
      <c r="F383" s="77">
        <f t="shared" si="17"/>
        <v>-0.26870551390930575</v>
      </c>
    </row>
    <row r="384" spans="1:6" x14ac:dyDescent="0.2">
      <c r="A384" s="38">
        <v>45597</v>
      </c>
      <c r="B384" s="30">
        <v>10708.9</v>
      </c>
      <c r="C384" s="43">
        <f t="shared" si="15"/>
        <v>0.22686466642152428</v>
      </c>
      <c r="D384" s="29">
        <v>14.32</v>
      </c>
      <c r="E384" s="43">
        <f t="shared" si="16"/>
        <v>-2.2783173930576734E-2</v>
      </c>
      <c r="F384" s="77">
        <f t="shared" si="17"/>
        <v>0.24964784035210102</v>
      </c>
    </row>
    <row r="385" spans="1:6" x14ac:dyDescent="0.2">
      <c r="A385" s="38">
        <v>45599</v>
      </c>
      <c r="B385" s="30">
        <v>10231.799999999999</v>
      </c>
      <c r="C385" s="43">
        <f t="shared" si="15"/>
        <v>-4.557465387030217E-2</v>
      </c>
      <c r="D385" s="29">
        <v>13.88</v>
      </c>
      <c r="E385" s="43">
        <f t="shared" si="16"/>
        <v>-3.120820645384105E-2</v>
      </c>
      <c r="F385" s="77">
        <f t="shared" si="17"/>
        <v>-1.436644741646112E-2</v>
      </c>
    </row>
    <row r="386" spans="1:6" x14ac:dyDescent="0.2">
      <c r="A386" s="38">
        <v>45600</v>
      </c>
      <c r="B386" s="30">
        <v>10855.3</v>
      </c>
      <c r="C386" s="43">
        <f t="shared" si="15"/>
        <v>5.9152922417197835E-2</v>
      </c>
      <c r="D386" s="29">
        <v>14.73</v>
      </c>
      <c r="E386" s="43">
        <f t="shared" si="16"/>
        <v>5.9437275395880375E-2</v>
      </c>
      <c r="F386" s="77">
        <f t="shared" si="17"/>
        <v>-2.8435297868253939E-4</v>
      </c>
    </row>
    <row r="387" spans="1:6" x14ac:dyDescent="0.2">
      <c r="A387" s="38">
        <v>45602</v>
      </c>
      <c r="B387" s="30">
        <v>9890.9</v>
      </c>
      <c r="C387" s="43">
        <f t="shared" si="15"/>
        <v>-9.3038297476582155E-2</v>
      </c>
      <c r="D387" s="29">
        <v>14.24</v>
      </c>
      <c r="E387" s="43">
        <f t="shared" si="16"/>
        <v>-3.3831324490709205E-2</v>
      </c>
      <c r="F387" s="77">
        <f t="shared" si="17"/>
        <v>-5.9206972985872949E-2</v>
      </c>
    </row>
    <row r="388" spans="1:6" x14ac:dyDescent="0.2">
      <c r="A388" s="38">
        <v>45603</v>
      </c>
      <c r="B388" s="30">
        <v>10350.6</v>
      </c>
      <c r="C388" s="43">
        <f t="shared" si="15"/>
        <v>4.542934654021439E-2</v>
      </c>
      <c r="D388" s="29">
        <v>14.37</v>
      </c>
      <c r="E388" s="43">
        <f t="shared" si="16"/>
        <v>9.087794107103777E-3</v>
      </c>
      <c r="F388" s="77">
        <f t="shared" si="17"/>
        <v>3.6341552433110616E-2</v>
      </c>
    </row>
    <row r="389" spans="1:6" x14ac:dyDescent="0.2">
      <c r="A389" s="38">
        <v>45605</v>
      </c>
      <c r="B389" s="30">
        <v>8368.5</v>
      </c>
      <c r="C389" s="43">
        <f t="shared" ref="C389:C402" si="18">LN(B389/B388)</f>
        <v>-0.21256983207406088</v>
      </c>
      <c r="D389" s="29">
        <v>13.71</v>
      </c>
      <c r="E389" s="43">
        <f t="shared" ref="E389:E402" si="19">LN(D389/D388)</f>
        <v>-4.7017206516710382E-2</v>
      </c>
      <c r="F389" s="77">
        <f t="shared" ref="F389:F402" si="20">C389-E389</f>
        <v>-0.16555262555735051</v>
      </c>
    </row>
    <row r="390" spans="1:6" x14ac:dyDescent="0.2">
      <c r="A390" s="38">
        <v>45606</v>
      </c>
      <c r="B390" s="30">
        <v>9317.5</v>
      </c>
      <c r="C390" s="43">
        <f t="shared" si="18"/>
        <v>0.10741969539972065</v>
      </c>
      <c r="D390" s="29">
        <v>12.33</v>
      </c>
      <c r="E390" s="43">
        <f t="shared" si="19"/>
        <v>-0.10609017639797014</v>
      </c>
      <c r="F390" s="77">
        <f t="shared" si="20"/>
        <v>0.21350987179769079</v>
      </c>
    </row>
    <row r="391" spans="1:6" x14ac:dyDescent="0.2">
      <c r="A391" s="38">
        <v>45607</v>
      </c>
      <c r="B391" s="30">
        <v>8640</v>
      </c>
      <c r="C391" s="43">
        <f t="shared" si="18"/>
        <v>-7.5491769555312199E-2</v>
      </c>
      <c r="D391" s="29">
        <v>12.18</v>
      </c>
      <c r="E391" s="43">
        <f t="shared" si="19"/>
        <v>-1.224005489450195E-2</v>
      </c>
      <c r="F391" s="77">
        <f t="shared" si="20"/>
        <v>-6.3251714660810254E-2</v>
      </c>
    </row>
    <row r="392" spans="1:6" x14ac:dyDescent="0.2">
      <c r="A392" s="38">
        <v>45608</v>
      </c>
      <c r="B392" s="30">
        <v>8449.6</v>
      </c>
      <c r="C392" s="43">
        <f t="shared" si="18"/>
        <v>-2.2283479845432521E-2</v>
      </c>
      <c r="D392" s="29">
        <v>14.54</v>
      </c>
      <c r="E392" s="43">
        <f t="shared" si="19"/>
        <v>0.17710820982362233</v>
      </c>
      <c r="F392" s="77">
        <f t="shared" si="20"/>
        <v>-0.19939168966905485</v>
      </c>
    </row>
    <row r="393" spans="1:6" x14ac:dyDescent="0.2">
      <c r="A393" s="38">
        <v>45627</v>
      </c>
      <c r="B393" s="30">
        <v>10765.7</v>
      </c>
      <c r="C393" s="43">
        <f t="shared" si="18"/>
        <v>0.24224605127747567</v>
      </c>
      <c r="D393" s="29">
        <v>14.64</v>
      </c>
      <c r="E393" s="43">
        <f t="shared" si="19"/>
        <v>6.8540364277922131E-3</v>
      </c>
      <c r="F393" s="77">
        <f t="shared" si="20"/>
        <v>0.23539201484968345</v>
      </c>
    </row>
    <row r="394" spans="1:6" x14ac:dyDescent="0.2">
      <c r="A394" s="38">
        <v>45628</v>
      </c>
      <c r="B394" s="30">
        <v>10740.7</v>
      </c>
      <c r="C394" s="43">
        <f t="shared" si="18"/>
        <v>-2.3248903824588133E-3</v>
      </c>
      <c r="D394" s="29">
        <v>13.94</v>
      </c>
      <c r="E394" s="43">
        <f t="shared" si="19"/>
        <v>-4.8995103200787787E-2</v>
      </c>
      <c r="F394" s="77">
        <f t="shared" si="20"/>
        <v>4.6670212818328977E-2</v>
      </c>
    </row>
    <row r="395" spans="1:6" x14ac:dyDescent="0.2">
      <c r="A395" s="38">
        <v>45629</v>
      </c>
      <c r="B395" s="30">
        <v>10153.4</v>
      </c>
      <c r="C395" s="43">
        <f t="shared" si="18"/>
        <v>-5.6231639100017369E-2</v>
      </c>
      <c r="D395" s="29">
        <v>13.53</v>
      </c>
      <c r="E395" s="43">
        <f t="shared" si="19"/>
        <v>-2.985296314968116E-2</v>
      </c>
      <c r="F395" s="77">
        <f t="shared" si="20"/>
        <v>-2.637867595033621E-2</v>
      </c>
    </row>
    <row r="396" spans="1:6" x14ac:dyDescent="0.2">
      <c r="A396" s="38">
        <v>45630</v>
      </c>
      <c r="B396" s="30">
        <v>10799.9</v>
      </c>
      <c r="C396" s="43">
        <f t="shared" si="18"/>
        <v>6.1728250062516199E-2</v>
      </c>
      <c r="D396" s="29">
        <v>14.87</v>
      </c>
      <c r="E396" s="43">
        <f t="shared" si="19"/>
        <v>9.4436318289367105E-2</v>
      </c>
      <c r="F396" s="77">
        <f t="shared" si="20"/>
        <v>-3.2708068226850906E-2</v>
      </c>
    </row>
    <row r="397" spans="1:6" x14ac:dyDescent="0.2">
      <c r="A397" s="38">
        <v>45632</v>
      </c>
      <c r="B397" s="30">
        <v>9991.2000000000007</v>
      </c>
      <c r="C397" s="43">
        <f t="shared" si="18"/>
        <v>-7.7832169261309078E-2</v>
      </c>
      <c r="D397" s="29">
        <v>14.41</v>
      </c>
      <c r="E397" s="43">
        <f t="shared" si="19"/>
        <v>-3.1423350460632903E-2</v>
      </c>
      <c r="F397" s="77">
        <f t="shared" si="20"/>
        <v>-4.6408818800676176E-2</v>
      </c>
    </row>
    <row r="398" spans="1:6" x14ac:dyDescent="0.2">
      <c r="A398" s="38">
        <v>45633</v>
      </c>
      <c r="B398" s="30">
        <v>10397.799999999999</v>
      </c>
      <c r="C398" s="43">
        <f t="shared" si="18"/>
        <v>3.9889539741633825E-2</v>
      </c>
      <c r="D398" s="29">
        <v>13.82</v>
      </c>
      <c r="E398" s="43">
        <f t="shared" si="19"/>
        <v>-4.180559167190688E-2</v>
      </c>
      <c r="F398" s="77">
        <f t="shared" si="20"/>
        <v>8.1695131413540706E-2</v>
      </c>
    </row>
    <row r="399" spans="1:6" x14ac:dyDescent="0.2">
      <c r="A399" s="38">
        <v>45634</v>
      </c>
      <c r="B399" s="30">
        <v>9337.6</v>
      </c>
      <c r="C399" s="43">
        <f t="shared" si="18"/>
        <v>-0.10754498540209741</v>
      </c>
      <c r="D399" s="29">
        <v>14.27</v>
      </c>
      <c r="E399" s="43">
        <f t="shared" si="19"/>
        <v>3.2042613149221105E-2</v>
      </c>
      <c r="F399" s="77">
        <f t="shared" si="20"/>
        <v>-0.13958759855131853</v>
      </c>
    </row>
    <row r="400" spans="1:6" x14ac:dyDescent="0.2">
      <c r="A400" s="38">
        <v>45635</v>
      </c>
      <c r="B400" s="30">
        <v>8562.5</v>
      </c>
      <c r="C400" s="43">
        <f t="shared" si="18"/>
        <v>-8.6657056317931108E-2</v>
      </c>
      <c r="D400" s="29">
        <v>12.01</v>
      </c>
      <c r="E400" s="43">
        <f t="shared" si="19"/>
        <v>-0.17241979539685287</v>
      </c>
      <c r="F400" s="77">
        <f t="shared" si="20"/>
        <v>8.5762739078921763E-2</v>
      </c>
    </row>
    <row r="401" spans="1:6" x14ac:dyDescent="0.2">
      <c r="A401" s="38">
        <v>45637</v>
      </c>
      <c r="B401" s="30">
        <v>8496.5</v>
      </c>
      <c r="C401" s="43">
        <f t="shared" si="18"/>
        <v>-7.7378895963205003E-3</v>
      </c>
      <c r="D401" s="29">
        <v>11.98</v>
      </c>
      <c r="E401" s="43">
        <f t="shared" si="19"/>
        <v>-2.5010434045888369E-3</v>
      </c>
      <c r="F401" s="77">
        <f t="shared" si="20"/>
        <v>-5.2368461917316634E-3</v>
      </c>
    </row>
    <row r="402" spans="1:6" ht="17" thickBot="1" x14ac:dyDescent="0.25">
      <c r="A402" s="39">
        <v>45638</v>
      </c>
      <c r="B402" s="41">
        <v>8446.1</v>
      </c>
      <c r="C402" s="46">
        <f t="shared" si="18"/>
        <v>-5.949517626138082E-3</v>
      </c>
      <c r="D402" s="40">
        <v>11.98</v>
      </c>
      <c r="E402" s="46">
        <f t="shared" si="19"/>
        <v>0</v>
      </c>
      <c r="F402" s="78">
        <f t="shared" si="20"/>
        <v>-5.949517626138082E-3</v>
      </c>
    </row>
    <row r="403" spans="1:6" x14ac:dyDescent="0.2">
      <c r="A403" s="28"/>
      <c r="B403" s="31"/>
      <c r="C403" s="31"/>
      <c r="D403" s="32"/>
      <c r="E403" s="31"/>
    </row>
    <row r="404" spans="1:6" x14ac:dyDescent="0.2">
      <c r="A404" s="28"/>
      <c r="D404" s="32"/>
    </row>
    <row r="405" spans="1:6" x14ac:dyDescent="0.2">
      <c r="A405" s="28"/>
      <c r="D405" s="32"/>
    </row>
    <row r="406" spans="1:6" x14ac:dyDescent="0.2">
      <c r="A406" s="28"/>
      <c r="D406" s="32"/>
    </row>
    <row r="407" spans="1:6" x14ac:dyDescent="0.2">
      <c r="A407" s="28"/>
      <c r="D407" s="32"/>
    </row>
    <row r="408" spans="1:6" x14ac:dyDescent="0.2">
      <c r="A408" s="28"/>
      <c r="D408" s="32"/>
    </row>
    <row r="409" spans="1:6" x14ac:dyDescent="0.2">
      <c r="A409" s="28"/>
      <c r="D409" s="32"/>
    </row>
    <row r="410" spans="1:6" x14ac:dyDescent="0.2">
      <c r="A410" s="28"/>
      <c r="D410" s="32"/>
    </row>
    <row r="411" spans="1:6" x14ac:dyDescent="0.2">
      <c r="A411" s="28"/>
      <c r="D411" s="32"/>
    </row>
    <row r="412" spans="1:6" x14ac:dyDescent="0.2">
      <c r="A412" s="28"/>
      <c r="D412" s="32"/>
    </row>
    <row r="413" spans="1:6" x14ac:dyDescent="0.2">
      <c r="A413" s="28"/>
      <c r="D413" s="32"/>
    </row>
    <row r="414" spans="1:6" x14ac:dyDescent="0.2">
      <c r="A414" s="28"/>
      <c r="D414" s="32"/>
    </row>
    <row r="415" spans="1:6" x14ac:dyDescent="0.2">
      <c r="A415" s="28"/>
      <c r="D415" s="32"/>
    </row>
    <row r="416" spans="1:6" x14ac:dyDescent="0.2">
      <c r="A416" s="28"/>
      <c r="D416" s="32"/>
    </row>
    <row r="417" spans="1:4" x14ac:dyDescent="0.2">
      <c r="A417" s="28"/>
      <c r="D417" s="32"/>
    </row>
    <row r="418" spans="1:4" x14ac:dyDescent="0.2">
      <c r="A418" s="28"/>
      <c r="D418" s="32"/>
    </row>
    <row r="419" spans="1:4" x14ac:dyDescent="0.2">
      <c r="A419" s="28"/>
      <c r="D419" s="32"/>
    </row>
    <row r="420" spans="1:4" x14ac:dyDescent="0.2">
      <c r="A420" s="28"/>
      <c r="D420" s="32"/>
    </row>
    <row r="421" spans="1:4" x14ac:dyDescent="0.2">
      <c r="A421" s="28"/>
      <c r="D421" s="32"/>
    </row>
    <row r="422" spans="1:4" x14ac:dyDescent="0.2">
      <c r="A422" s="28"/>
      <c r="D422" s="32"/>
    </row>
    <row r="423" spans="1:4" x14ac:dyDescent="0.2">
      <c r="A423" s="28"/>
      <c r="D423" s="32"/>
    </row>
    <row r="424" spans="1:4" x14ac:dyDescent="0.2">
      <c r="A424" s="28"/>
      <c r="D424" s="32"/>
    </row>
    <row r="425" spans="1:4" x14ac:dyDescent="0.2">
      <c r="A425" s="28"/>
      <c r="D425" s="32"/>
    </row>
    <row r="426" spans="1:4" x14ac:dyDescent="0.2">
      <c r="A426" s="28"/>
      <c r="D426" s="32"/>
    </row>
    <row r="427" spans="1:4" x14ac:dyDescent="0.2">
      <c r="A427" s="28"/>
      <c r="D427" s="32"/>
    </row>
    <row r="428" spans="1:4" x14ac:dyDescent="0.2">
      <c r="A428" s="28"/>
      <c r="D428" s="32"/>
    </row>
    <row r="429" spans="1:4" x14ac:dyDescent="0.2">
      <c r="A429" s="28"/>
      <c r="D429" s="32"/>
    </row>
    <row r="430" spans="1:4" x14ac:dyDescent="0.2">
      <c r="A430" s="28"/>
      <c r="D430" s="32"/>
    </row>
    <row r="431" spans="1:4" x14ac:dyDescent="0.2">
      <c r="A431" s="28"/>
      <c r="D431" s="32"/>
    </row>
    <row r="432" spans="1:4" x14ac:dyDescent="0.2">
      <c r="A432" s="28"/>
      <c r="D432" s="32"/>
    </row>
    <row r="433" spans="1:4" x14ac:dyDescent="0.2">
      <c r="A433" s="28"/>
      <c r="D433" s="32"/>
    </row>
    <row r="434" spans="1:4" x14ac:dyDescent="0.2">
      <c r="A434" s="28"/>
      <c r="D434" s="32"/>
    </row>
    <row r="435" spans="1:4" x14ac:dyDescent="0.2">
      <c r="A435" s="28"/>
      <c r="D435" s="32"/>
    </row>
    <row r="436" spans="1:4" x14ac:dyDescent="0.2">
      <c r="A436" s="28"/>
      <c r="D436" s="32"/>
    </row>
    <row r="437" spans="1:4" x14ac:dyDescent="0.2">
      <c r="A437" s="28"/>
      <c r="D437" s="32"/>
    </row>
    <row r="438" spans="1:4" x14ac:dyDescent="0.2">
      <c r="A438" s="28"/>
      <c r="D438" s="32"/>
    </row>
    <row r="439" spans="1:4" x14ac:dyDescent="0.2">
      <c r="A439" s="28"/>
      <c r="D439" s="32"/>
    </row>
    <row r="440" spans="1:4" x14ac:dyDescent="0.2">
      <c r="A440" s="28"/>
      <c r="D440" s="32"/>
    </row>
    <row r="441" spans="1:4" x14ac:dyDescent="0.2">
      <c r="A441" s="28"/>
      <c r="D441" s="32"/>
    </row>
    <row r="442" spans="1:4" x14ac:dyDescent="0.2">
      <c r="A442" s="28"/>
      <c r="D442" s="32"/>
    </row>
    <row r="443" spans="1:4" x14ac:dyDescent="0.2">
      <c r="A443" s="28"/>
      <c r="D443" s="32"/>
    </row>
    <row r="444" spans="1:4" x14ac:dyDescent="0.2">
      <c r="A444" s="28"/>
      <c r="D444" s="32"/>
    </row>
    <row r="445" spans="1:4" x14ac:dyDescent="0.2">
      <c r="A445" s="28"/>
      <c r="D445" s="32"/>
    </row>
    <row r="446" spans="1:4" x14ac:dyDescent="0.2">
      <c r="A446" s="28"/>
      <c r="D446" s="32"/>
    </row>
    <row r="447" spans="1:4" x14ac:dyDescent="0.2">
      <c r="A447" s="28"/>
      <c r="D447" s="32"/>
    </row>
    <row r="448" spans="1:4" x14ac:dyDescent="0.2">
      <c r="A448" s="28"/>
      <c r="D448" s="32"/>
    </row>
    <row r="449" spans="1:4" x14ac:dyDescent="0.2">
      <c r="A449" s="28"/>
      <c r="D449" s="32"/>
    </row>
    <row r="450" spans="1:4" x14ac:dyDescent="0.2">
      <c r="A450" s="28"/>
      <c r="D450" s="32"/>
    </row>
    <row r="451" spans="1:4" x14ac:dyDescent="0.2">
      <c r="A451" s="28"/>
      <c r="D451" s="32"/>
    </row>
    <row r="452" spans="1:4" x14ac:dyDescent="0.2">
      <c r="A452" s="28"/>
      <c r="D452" s="32"/>
    </row>
    <row r="453" spans="1:4" x14ac:dyDescent="0.2">
      <c r="A453" s="28"/>
      <c r="D453" s="32"/>
    </row>
    <row r="454" spans="1:4" x14ac:dyDescent="0.2">
      <c r="A454" s="28"/>
      <c r="D454" s="32"/>
    </row>
    <row r="455" spans="1:4" x14ac:dyDescent="0.2">
      <c r="A455" s="28"/>
      <c r="D455" s="32"/>
    </row>
    <row r="456" spans="1:4" x14ac:dyDescent="0.2">
      <c r="A456" s="28"/>
      <c r="D456" s="32"/>
    </row>
    <row r="457" spans="1:4" x14ac:dyDescent="0.2">
      <c r="A457" s="28"/>
      <c r="D457" s="32"/>
    </row>
    <row r="458" spans="1:4" x14ac:dyDescent="0.2">
      <c r="A458" s="28"/>
      <c r="D458" s="32"/>
    </row>
    <row r="459" spans="1:4" x14ac:dyDescent="0.2">
      <c r="A459" s="28"/>
      <c r="D459" s="32"/>
    </row>
    <row r="460" spans="1:4" x14ac:dyDescent="0.2">
      <c r="A460" s="28"/>
      <c r="D460" s="32"/>
    </row>
    <row r="461" spans="1:4" x14ac:dyDescent="0.2">
      <c r="A461" s="28"/>
      <c r="D461" s="32"/>
    </row>
    <row r="462" spans="1:4" x14ac:dyDescent="0.2">
      <c r="A462" s="28"/>
      <c r="D462" s="32"/>
    </row>
    <row r="463" spans="1:4" x14ac:dyDescent="0.2">
      <c r="A463" s="28"/>
      <c r="D463" s="32"/>
    </row>
    <row r="464" spans="1:4" x14ac:dyDescent="0.2">
      <c r="A464" s="28"/>
      <c r="D464" s="32"/>
    </row>
    <row r="465" spans="1:4" x14ac:dyDescent="0.2">
      <c r="A465" s="28"/>
      <c r="D465" s="32"/>
    </row>
    <row r="466" spans="1:4" x14ac:dyDescent="0.2">
      <c r="A466" s="28"/>
      <c r="D466" s="32"/>
    </row>
    <row r="467" spans="1:4" x14ac:dyDescent="0.2">
      <c r="A467" s="28"/>
      <c r="D467" s="32"/>
    </row>
    <row r="468" spans="1:4" x14ac:dyDescent="0.2">
      <c r="A468" s="28"/>
      <c r="D468" s="32"/>
    </row>
    <row r="469" spans="1:4" x14ac:dyDescent="0.2">
      <c r="A469" s="28"/>
      <c r="D469" s="32"/>
    </row>
    <row r="470" spans="1:4" x14ac:dyDescent="0.2">
      <c r="A470" s="28"/>
      <c r="D470" s="32"/>
    </row>
    <row r="471" spans="1:4" x14ac:dyDescent="0.2">
      <c r="A471" s="28"/>
      <c r="D471" s="32"/>
    </row>
    <row r="472" spans="1:4" x14ac:dyDescent="0.2">
      <c r="A472" s="28"/>
      <c r="D472" s="32"/>
    </row>
    <row r="473" spans="1:4" x14ac:dyDescent="0.2">
      <c r="A473" s="28"/>
      <c r="D473" s="32"/>
    </row>
    <row r="474" spans="1:4" x14ac:dyDescent="0.2">
      <c r="A474" s="28"/>
      <c r="D474" s="32"/>
    </row>
    <row r="475" spans="1:4" x14ac:dyDescent="0.2">
      <c r="A475" s="28"/>
      <c r="D475" s="32"/>
    </row>
    <row r="476" spans="1:4" x14ac:dyDescent="0.2">
      <c r="A476" s="28"/>
      <c r="D476" s="32"/>
    </row>
    <row r="477" spans="1:4" x14ac:dyDescent="0.2">
      <c r="A477" s="28"/>
      <c r="D477" s="32"/>
    </row>
    <row r="478" spans="1:4" x14ac:dyDescent="0.2">
      <c r="A478" s="28"/>
      <c r="D478" s="32"/>
    </row>
    <row r="479" spans="1:4" x14ac:dyDescent="0.2">
      <c r="A479" s="28"/>
      <c r="D479" s="32"/>
    </row>
    <row r="480" spans="1:4" x14ac:dyDescent="0.2">
      <c r="A480" s="28"/>
      <c r="D480" s="32"/>
    </row>
    <row r="481" spans="1:4" x14ac:dyDescent="0.2">
      <c r="A481" s="28"/>
      <c r="D481" s="32"/>
    </row>
    <row r="482" spans="1:4" x14ac:dyDescent="0.2">
      <c r="A482" s="28"/>
      <c r="D482" s="32"/>
    </row>
    <row r="483" spans="1:4" x14ac:dyDescent="0.2">
      <c r="A483" s="28"/>
      <c r="D483" s="32"/>
    </row>
    <row r="484" spans="1:4" x14ac:dyDescent="0.2">
      <c r="A484" s="28"/>
      <c r="D484" s="32"/>
    </row>
    <row r="485" spans="1:4" x14ac:dyDescent="0.2">
      <c r="A485" s="28"/>
      <c r="D485" s="32"/>
    </row>
    <row r="486" spans="1:4" x14ac:dyDescent="0.2">
      <c r="A486" s="28"/>
      <c r="D486" s="32"/>
    </row>
    <row r="487" spans="1:4" x14ac:dyDescent="0.2">
      <c r="A487" s="28"/>
      <c r="D487" s="32"/>
    </row>
    <row r="488" spans="1:4" x14ac:dyDescent="0.2">
      <c r="A488" s="28"/>
      <c r="D488" s="32"/>
    </row>
    <row r="489" spans="1:4" x14ac:dyDescent="0.2">
      <c r="A489" s="28"/>
      <c r="D489" s="32"/>
    </row>
    <row r="490" spans="1:4" x14ac:dyDescent="0.2">
      <c r="A490" s="28"/>
      <c r="D490" s="32"/>
    </row>
    <row r="491" spans="1:4" x14ac:dyDescent="0.2">
      <c r="A491" s="28"/>
      <c r="D491" s="32"/>
    </row>
    <row r="492" spans="1:4" x14ac:dyDescent="0.2">
      <c r="A492" s="28"/>
      <c r="D492" s="32"/>
    </row>
    <row r="493" spans="1:4" x14ac:dyDescent="0.2">
      <c r="A493" s="28"/>
      <c r="D493" s="32"/>
    </row>
    <row r="494" spans="1:4" x14ac:dyDescent="0.2">
      <c r="A494" s="28"/>
      <c r="D494" s="32"/>
    </row>
    <row r="495" spans="1:4" x14ac:dyDescent="0.2">
      <c r="A495" s="28"/>
      <c r="D495" s="32"/>
    </row>
    <row r="496" spans="1:4" x14ac:dyDescent="0.2">
      <c r="A496" s="28"/>
      <c r="D496" s="32"/>
    </row>
    <row r="497" spans="1:4" x14ac:dyDescent="0.2">
      <c r="A497" s="28"/>
      <c r="D497" s="32"/>
    </row>
    <row r="498" spans="1:4" x14ac:dyDescent="0.2">
      <c r="A498" s="28"/>
      <c r="D498" s="32"/>
    </row>
    <row r="499" spans="1:4" x14ac:dyDescent="0.2">
      <c r="A499" s="28"/>
      <c r="D499" s="32"/>
    </row>
    <row r="500" spans="1:4" x14ac:dyDescent="0.2">
      <c r="A500" s="28"/>
      <c r="D500" s="32"/>
    </row>
    <row r="501" spans="1:4" x14ac:dyDescent="0.2">
      <c r="A501" s="28"/>
      <c r="D501" s="32"/>
    </row>
    <row r="502" spans="1:4" x14ac:dyDescent="0.2">
      <c r="A502" s="28"/>
      <c r="D502" s="32"/>
    </row>
    <row r="503" spans="1:4" x14ac:dyDescent="0.2">
      <c r="A503" s="28"/>
      <c r="D503" s="32"/>
    </row>
    <row r="504" spans="1:4" x14ac:dyDescent="0.2">
      <c r="A504" s="28"/>
      <c r="D504" s="32"/>
    </row>
    <row r="505" spans="1:4" x14ac:dyDescent="0.2">
      <c r="A505" s="28"/>
      <c r="D505" s="32"/>
    </row>
    <row r="506" spans="1:4" x14ac:dyDescent="0.2">
      <c r="A506" s="28"/>
      <c r="D506" s="32"/>
    </row>
    <row r="507" spans="1:4" x14ac:dyDescent="0.2">
      <c r="A507" s="28"/>
      <c r="D507" s="32"/>
    </row>
    <row r="508" spans="1:4" x14ac:dyDescent="0.2">
      <c r="A508" s="28"/>
      <c r="D508" s="32"/>
    </row>
    <row r="509" spans="1:4" x14ac:dyDescent="0.2">
      <c r="A509" s="28"/>
      <c r="D509" s="32"/>
    </row>
    <row r="510" spans="1:4" x14ac:dyDescent="0.2">
      <c r="A510" s="28"/>
      <c r="D510" s="32"/>
    </row>
    <row r="511" spans="1:4" x14ac:dyDescent="0.2">
      <c r="A511" s="28"/>
      <c r="D511" s="32"/>
    </row>
    <row r="512" spans="1:4" x14ac:dyDescent="0.2">
      <c r="A512" s="28"/>
      <c r="D512" s="32"/>
    </row>
    <row r="513" spans="1:4" x14ac:dyDescent="0.2">
      <c r="A513" s="28"/>
      <c r="D513" s="32"/>
    </row>
    <row r="514" spans="1:4" x14ac:dyDescent="0.2">
      <c r="A514" s="28"/>
      <c r="D514" s="32"/>
    </row>
    <row r="515" spans="1:4" x14ac:dyDescent="0.2">
      <c r="A515" s="28"/>
      <c r="D515" s="32"/>
    </row>
    <row r="516" spans="1:4" x14ac:dyDescent="0.2">
      <c r="A516" s="28"/>
      <c r="D516" s="32"/>
    </row>
    <row r="517" spans="1:4" x14ac:dyDescent="0.2">
      <c r="A517" s="28"/>
      <c r="D517" s="32"/>
    </row>
    <row r="518" spans="1:4" x14ac:dyDescent="0.2">
      <c r="A518" s="28"/>
      <c r="D518" s="32"/>
    </row>
    <row r="519" spans="1:4" x14ac:dyDescent="0.2">
      <c r="A519" s="28"/>
      <c r="D519" s="32"/>
    </row>
    <row r="520" spans="1:4" x14ac:dyDescent="0.2">
      <c r="A520" s="28"/>
      <c r="D520" s="32"/>
    </row>
    <row r="521" spans="1:4" x14ac:dyDescent="0.2">
      <c r="A521" s="28"/>
      <c r="D521" s="32"/>
    </row>
    <row r="522" spans="1:4" x14ac:dyDescent="0.2">
      <c r="A522" s="28"/>
      <c r="D522" s="32"/>
    </row>
    <row r="523" spans="1:4" x14ac:dyDescent="0.2">
      <c r="A523" s="28"/>
      <c r="D523" s="32"/>
    </row>
    <row r="524" spans="1:4" x14ac:dyDescent="0.2">
      <c r="A524" s="28"/>
      <c r="D524" s="32"/>
    </row>
    <row r="525" spans="1:4" x14ac:dyDescent="0.2">
      <c r="A525" s="28"/>
      <c r="D525" s="32"/>
    </row>
    <row r="526" spans="1:4" x14ac:dyDescent="0.2">
      <c r="A526" s="28"/>
      <c r="D526" s="32"/>
    </row>
    <row r="527" spans="1:4" x14ac:dyDescent="0.2">
      <c r="A527" s="28"/>
      <c r="D527" s="32"/>
    </row>
    <row r="528" spans="1:4" x14ac:dyDescent="0.2">
      <c r="A528" s="28"/>
      <c r="D528" s="32"/>
    </row>
    <row r="529" spans="1:4" x14ac:dyDescent="0.2">
      <c r="A529" s="28"/>
      <c r="D529" s="32"/>
    </row>
    <row r="530" spans="1:4" x14ac:dyDescent="0.2">
      <c r="A530" s="28"/>
      <c r="D530" s="32"/>
    </row>
    <row r="531" spans="1:4" x14ac:dyDescent="0.2">
      <c r="A531" s="28"/>
      <c r="D531" s="32"/>
    </row>
    <row r="532" spans="1:4" x14ac:dyDescent="0.2">
      <c r="A532" s="28"/>
      <c r="D532" s="32"/>
    </row>
    <row r="533" spans="1:4" x14ac:dyDescent="0.2">
      <c r="A533" s="28"/>
      <c r="D533" s="32"/>
    </row>
    <row r="534" spans="1:4" x14ac:dyDescent="0.2">
      <c r="A534" s="28"/>
      <c r="D534" s="32"/>
    </row>
    <row r="535" spans="1:4" x14ac:dyDescent="0.2">
      <c r="A535" s="28"/>
      <c r="D535" s="32"/>
    </row>
    <row r="536" spans="1:4" x14ac:dyDescent="0.2">
      <c r="A536" s="28"/>
      <c r="D536" s="32"/>
    </row>
    <row r="537" spans="1:4" x14ac:dyDescent="0.2">
      <c r="A537" s="28"/>
      <c r="D537" s="32"/>
    </row>
    <row r="538" spans="1:4" x14ac:dyDescent="0.2">
      <c r="A538" s="28"/>
      <c r="D538" s="32"/>
    </row>
    <row r="539" spans="1:4" x14ac:dyDescent="0.2">
      <c r="A539" s="28"/>
      <c r="D539" s="32"/>
    </row>
    <row r="540" spans="1:4" x14ac:dyDescent="0.2">
      <c r="A540" s="28"/>
      <c r="D540" s="32"/>
    </row>
    <row r="541" spans="1:4" x14ac:dyDescent="0.2">
      <c r="A541" s="28"/>
      <c r="D541" s="32"/>
    </row>
    <row r="542" spans="1:4" x14ac:dyDescent="0.2">
      <c r="A542" s="28"/>
      <c r="D542" s="32"/>
    </row>
    <row r="543" spans="1:4" x14ac:dyDescent="0.2">
      <c r="A543" s="28"/>
      <c r="D543" s="32"/>
    </row>
    <row r="544" spans="1:4" x14ac:dyDescent="0.2">
      <c r="A544" s="28"/>
      <c r="D544" s="32"/>
    </row>
    <row r="545" spans="1:4" x14ac:dyDescent="0.2">
      <c r="A545" s="28"/>
      <c r="D545" s="32"/>
    </row>
    <row r="546" spans="1:4" x14ac:dyDescent="0.2">
      <c r="A546" s="28"/>
      <c r="D546" s="32"/>
    </row>
    <row r="547" spans="1:4" x14ac:dyDescent="0.2">
      <c r="A547" s="28"/>
      <c r="D547" s="32"/>
    </row>
    <row r="548" spans="1:4" x14ac:dyDescent="0.2">
      <c r="A548" s="28"/>
      <c r="D548" s="32"/>
    </row>
    <row r="549" spans="1:4" x14ac:dyDescent="0.2">
      <c r="A549" s="28"/>
      <c r="D549" s="32"/>
    </row>
    <row r="550" spans="1:4" x14ac:dyDescent="0.2">
      <c r="A550" s="28"/>
      <c r="D550" s="32"/>
    </row>
    <row r="551" spans="1:4" x14ac:dyDescent="0.2">
      <c r="A551" s="28"/>
      <c r="D551" s="32"/>
    </row>
    <row r="552" spans="1:4" x14ac:dyDescent="0.2">
      <c r="A552" s="28"/>
      <c r="D552" s="32"/>
    </row>
    <row r="553" spans="1:4" x14ac:dyDescent="0.2">
      <c r="A553" s="28"/>
      <c r="D553" s="32"/>
    </row>
    <row r="554" spans="1:4" x14ac:dyDescent="0.2">
      <c r="A554" s="28"/>
      <c r="D554" s="32"/>
    </row>
    <row r="555" spans="1:4" x14ac:dyDescent="0.2">
      <c r="A555" s="28"/>
      <c r="D555" s="32"/>
    </row>
    <row r="556" spans="1:4" x14ac:dyDescent="0.2">
      <c r="A556" s="28"/>
      <c r="D556" s="32"/>
    </row>
    <row r="557" spans="1:4" x14ac:dyDescent="0.2">
      <c r="A557" s="28"/>
      <c r="D557" s="32"/>
    </row>
    <row r="558" spans="1:4" x14ac:dyDescent="0.2">
      <c r="A558" s="28"/>
      <c r="D558" s="32"/>
    </row>
    <row r="559" spans="1:4" x14ac:dyDescent="0.2">
      <c r="A559" s="28"/>
      <c r="D559" s="32"/>
    </row>
    <row r="560" spans="1:4" x14ac:dyDescent="0.2">
      <c r="A560" s="28"/>
      <c r="D560" s="32"/>
    </row>
    <row r="561" spans="1:4" x14ac:dyDescent="0.2">
      <c r="A561" s="28"/>
      <c r="D561" s="32"/>
    </row>
    <row r="562" spans="1:4" x14ac:dyDescent="0.2">
      <c r="A562" s="28"/>
      <c r="D562" s="32"/>
    </row>
    <row r="563" spans="1:4" x14ac:dyDescent="0.2">
      <c r="A563" s="28"/>
      <c r="D563" s="32"/>
    </row>
    <row r="564" spans="1:4" x14ac:dyDescent="0.2">
      <c r="A564" s="28"/>
      <c r="D564" s="32"/>
    </row>
    <row r="565" spans="1:4" x14ac:dyDescent="0.2">
      <c r="A565" s="28"/>
      <c r="D565" s="32"/>
    </row>
    <row r="566" spans="1:4" x14ac:dyDescent="0.2">
      <c r="A566" s="28"/>
      <c r="D566" s="32"/>
    </row>
    <row r="567" spans="1:4" x14ac:dyDescent="0.2">
      <c r="A567" s="28"/>
      <c r="D567" s="32"/>
    </row>
    <row r="568" spans="1:4" x14ac:dyDescent="0.2">
      <c r="A568" s="28"/>
      <c r="D568" s="32"/>
    </row>
    <row r="569" spans="1:4" x14ac:dyDescent="0.2">
      <c r="A569" s="28"/>
      <c r="D569" s="32"/>
    </row>
    <row r="570" spans="1:4" x14ac:dyDescent="0.2">
      <c r="A570" s="28"/>
      <c r="D570" s="32"/>
    </row>
    <row r="571" spans="1:4" x14ac:dyDescent="0.2">
      <c r="A571" s="28"/>
      <c r="D571" s="32"/>
    </row>
    <row r="572" spans="1:4" x14ac:dyDescent="0.2">
      <c r="A572" s="28"/>
      <c r="D572" s="32"/>
    </row>
    <row r="573" spans="1:4" x14ac:dyDescent="0.2">
      <c r="A573" s="28"/>
      <c r="D573" s="32"/>
    </row>
    <row r="574" spans="1:4" x14ac:dyDescent="0.2">
      <c r="A574" s="28"/>
      <c r="D574" s="32"/>
    </row>
    <row r="575" spans="1:4" x14ac:dyDescent="0.2">
      <c r="A575" s="28"/>
      <c r="D575" s="32"/>
    </row>
    <row r="576" spans="1:4" x14ac:dyDescent="0.2">
      <c r="A576" s="28"/>
      <c r="D576" s="32"/>
    </row>
    <row r="577" spans="1:4" x14ac:dyDescent="0.2">
      <c r="A577" s="28"/>
      <c r="D577" s="32"/>
    </row>
    <row r="578" spans="1:4" x14ac:dyDescent="0.2">
      <c r="A578" s="28"/>
      <c r="D578" s="32"/>
    </row>
    <row r="579" spans="1:4" x14ac:dyDescent="0.2">
      <c r="A579" s="28"/>
      <c r="D579" s="32"/>
    </row>
    <row r="580" spans="1:4" x14ac:dyDescent="0.2">
      <c r="A580" s="28"/>
      <c r="D580" s="32"/>
    </row>
    <row r="581" spans="1:4" x14ac:dyDescent="0.2">
      <c r="A581" s="28"/>
      <c r="D581" s="32"/>
    </row>
    <row r="582" spans="1:4" x14ac:dyDescent="0.2">
      <c r="A582" s="28"/>
      <c r="D582" s="32"/>
    </row>
    <row r="583" spans="1:4" x14ac:dyDescent="0.2">
      <c r="A583" s="28"/>
      <c r="D583" s="32"/>
    </row>
    <row r="584" spans="1:4" x14ac:dyDescent="0.2">
      <c r="A584" s="28"/>
      <c r="D584" s="32"/>
    </row>
    <row r="585" spans="1:4" x14ac:dyDescent="0.2">
      <c r="A585" s="28"/>
      <c r="D585" s="32"/>
    </row>
    <row r="586" spans="1:4" x14ac:dyDescent="0.2">
      <c r="A586" s="28"/>
      <c r="D586" s="32"/>
    </row>
    <row r="587" spans="1:4" x14ac:dyDescent="0.2">
      <c r="A587" s="28"/>
      <c r="D587" s="32"/>
    </row>
    <row r="588" spans="1:4" x14ac:dyDescent="0.2">
      <c r="A588" s="28"/>
      <c r="D588" s="32"/>
    </row>
    <row r="589" spans="1:4" x14ac:dyDescent="0.2">
      <c r="A589" s="28"/>
      <c r="D589" s="32"/>
    </row>
    <row r="590" spans="1:4" x14ac:dyDescent="0.2">
      <c r="A590" s="28"/>
      <c r="D590" s="32"/>
    </row>
    <row r="591" spans="1:4" x14ac:dyDescent="0.2">
      <c r="A591" s="28"/>
      <c r="D591" s="32"/>
    </row>
    <row r="592" spans="1:4" x14ac:dyDescent="0.2">
      <c r="A592" s="28"/>
      <c r="D592" s="32"/>
    </row>
    <row r="593" spans="1:4" x14ac:dyDescent="0.2">
      <c r="A593" s="28"/>
      <c r="D593" s="32"/>
    </row>
    <row r="594" spans="1:4" x14ac:dyDescent="0.2">
      <c r="A594" s="28"/>
      <c r="D594" s="32"/>
    </row>
    <row r="595" spans="1:4" x14ac:dyDescent="0.2">
      <c r="A595" s="28"/>
      <c r="D595" s="32"/>
    </row>
    <row r="596" spans="1:4" x14ac:dyDescent="0.2">
      <c r="A596" s="28"/>
      <c r="D596" s="32"/>
    </row>
    <row r="597" spans="1:4" x14ac:dyDescent="0.2">
      <c r="A597" s="28"/>
      <c r="D597" s="32"/>
    </row>
    <row r="598" spans="1:4" x14ac:dyDescent="0.2">
      <c r="A598" s="28"/>
      <c r="D598" s="32"/>
    </row>
    <row r="599" spans="1:4" x14ac:dyDescent="0.2">
      <c r="A599" s="28"/>
      <c r="D599" s="32"/>
    </row>
    <row r="600" spans="1:4" x14ac:dyDescent="0.2">
      <c r="A600" s="28"/>
      <c r="D600" s="32"/>
    </row>
    <row r="601" spans="1:4" x14ac:dyDescent="0.2">
      <c r="A601" s="28"/>
      <c r="D601" s="32"/>
    </row>
    <row r="602" spans="1:4" x14ac:dyDescent="0.2">
      <c r="A602" s="28"/>
      <c r="D602" s="32"/>
    </row>
    <row r="603" spans="1:4" x14ac:dyDescent="0.2">
      <c r="A603" s="28"/>
      <c r="D603" s="32"/>
    </row>
    <row r="604" spans="1:4" x14ac:dyDescent="0.2">
      <c r="A604" s="28"/>
      <c r="D604" s="32"/>
    </row>
    <row r="605" spans="1:4" x14ac:dyDescent="0.2">
      <c r="A605" s="28"/>
      <c r="D605" s="32"/>
    </row>
    <row r="606" spans="1:4" x14ac:dyDescent="0.2">
      <c r="A606" s="28"/>
      <c r="D606" s="32"/>
    </row>
    <row r="607" spans="1:4" x14ac:dyDescent="0.2">
      <c r="A607" s="28"/>
      <c r="D607" s="32"/>
    </row>
    <row r="608" spans="1:4" x14ac:dyDescent="0.2">
      <c r="A608" s="28"/>
      <c r="D608" s="32"/>
    </row>
    <row r="609" spans="1:4" x14ac:dyDescent="0.2">
      <c r="A609" s="28"/>
      <c r="D609" s="32"/>
    </row>
    <row r="610" spans="1:4" x14ac:dyDescent="0.2">
      <c r="A610" s="28"/>
      <c r="D610" s="32"/>
    </row>
    <row r="611" spans="1:4" x14ac:dyDescent="0.2">
      <c r="A611" s="28"/>
      <c r="D611" s="32"/>
    </row>
    <row r="612" spans="1:4" x14ac:dyDescent="0.2">
      <c r="A612" s="28"/>
      <c r="D612" s="32"/>
    </row>
    <row r="613" spans="1:4" x14ac:dyDescent="0.2">
      <c r="A613" s="28"/>
      <c r="D613" s="32"/>
    </row>
    <row r="614" spans="1:4" x14ac:dyDescent="0.2">
      <c r="A614" s="28"/>
      <c r="D614" s="32"/>
    </row>
    <row r="615" spans="1:4" x14ac:dyDescent="0.2">
      <c r="A615" s="28"/>
      <c r="D615" s="32"/>
    </row>
    <row r="616" spans="1:4" x14ac:dyDescent="0.2">
      <c r="A616" s="28"/>
      <c r="D616" s="32"/>
    </row>
    <row r="617" spans="1:4" x14ac:dyDescent="0.2">
      <c r="A617" s="28"/>
      <c r="D617" s="32"/>
    </row>
    <row r="618" spans="1:4" x14ac:dyDescent="0.2">
      <c r="A618" s="28"/>
      <c r="D618" s="32"/>
    </row>
    <row r="619" spans="1:4" x14ac:dyDescent="0.2">
      <c r="A619" s="28"/>
      <c r="D619" s="32"/>
    </row>
    <row r="620" spans="1:4" x14ac:dyDescent="0.2">
      <c r="A620" s="28"/>
      <c r="D620" s="32"/>
    </row>
    <row r="621" spans="1:4" x14ac:dyDescent="0.2">
      <c r="A621" s="28"/>
      <c r="D621" s="32"/>
    </row>
    <row r="622" spans="1:4" x14ac:dyDescent="0.2">
      <c r="A622" s="28"/>
      <c r="D622" s="32"/>
    </row>
    <row r="623" spans="1:4" x14ac:dyDescent="0.2">
      <c r="A623" s="28"/>
      <c r="D623" s="32"/>
    </row>
    <row r="624" spans="1:4" x14ac:dyDescent="0.2">
      <c r="A624" s="28"/>
      <c r="D624" s="32"/>
    </row>
    <row r="625" spans="1:4" x14ac:dyDescent="0.2">
      <c r="A625" s="28"/>
      <c r="D625" s="32"/>
    </row>
    <row r="626" spans="1:4" x14ac:dyDescent="0.2">
      <c r="A626" s="28"/>
      <c r="D626" s="32"/>
    </row>
    <row r="627" spans="1:4" x14ac:dyDescent="0.2">
      <c r="A627" s="28"/>
      <c r="D627" s="32"/>
    </row>
    <row r="628" spans="1:4" x14ac:dyDescent="0.2">
      <c r="A628" s="28"/>
      <c r="D628" s="32"/>
    </row>
    <row r="629" spans="1:4" x14ac:dyDescent="0.2">
      <c r="A629" s="28"/>
      <c r="D629" s="32"/>
    </row>
    <row r="630" spans="1:4" x14ac:dyDescent="0.2">
      <c r="A630" s="28"/>
      <c r="D630" s="32"/>
    </row>
    <row r="631" spans="1:4" x14ac:dyDescent="0.2">
      <c r="A631" s="28"/>
      <c r="D631" s="32"/>
    </row>
    <row r="632" spans="1:4" x14ac:dyDescent="0.2">
      <c r="A632" s="28"/>
      <c r="D632" s="32"/>
    </row>
    <row r="633" spans="1:4" x14ac:dyDescent="0.2">
      <c r="A633" s="28"/>
      <c r="D633" s="32"/>
    </row>
    <row r="634" spans="1:4" x14ac:dyDescent="0.2">
      <c r="A634" s="28"/>
      <c r="D634" s="32"/>
    </row>
    <row r="635" spans="1:4" x14ac:dyDescent="0.2">
      <c r="A635" s="28"/>
      <c r="D635" s="32"/>
    </row>
    <row r="636" spans="1:4" x14ac:dyDescent="0.2">
      <c r="A636" s="28"/>
      <c r="D636" s="32"/>
    </row>
    <row r="637" spans="1:4" x14ac:dyDescent="0.2">
      <c r="A637" s="28"/>
      <c r="D637" s="32"/>
    </row>
    <row r="638" spans="1:4" x14ac:dyDescent="0.2">
      <c r="A638" s="28"/>
      <c r="D638" s="32"/>
    </row>
    <row r="639" spans="1:4" x14ac:dyDescent="0.2">
      <c r="A639" s="28"/>
      <c r="D639" s="32"/>
    </row>
    <row r="640" spans="1:4" x14ac:dyDescent="0.2">
      <c r="A640" s="28"/>
      <c r="D640" s="32"/>
    </row>
    <row r="641" spans="1:4" x14ac:dyDescent="0.2">
      <c r="A641" s="28"/>
      <c r="D641" s="32"/>
    </row>
    <row r="642" spans="1:4" x14ac:dyDescent="0.2">
      <c r="A642" s="28"/>
      <c r="D642" s="32"/>
    </row>
    <row r="643" spans="1:4" x14ac:dyDescent="0.2">
      <c r="A643" s="28"/>
      <c r="D643" s="32"/>
    </row>
    <row r="644" spans="1:4" x14ac:dyDescent="0.2">
      <c r="A644" s="28"/>
      <c r="D644" s="32"/>
    </row>
    <row r="645" spans="1:4" x14ac:dyDescent="0.2">
      <c r="A645" s="28"/>
      <c r="D645" s="32"/>
    </row>
    <row r="646" spans="1:4" x14ac:dyDescent="0.2">
      <c r="A646" s="28"/>
      <c r="D646" s="32"/>
    </row>
    <row r="647" spans="1:4" x14ac:dyDescent="0.2">
      <c r="A647" s="28"/>
      <c r="D647" s="32"/>
    </row>
    <row r="648" spans="1:4" x14ac:dyDescent="0.2">
      <c r="A648" s="28"/>
      <c r="D648" s="32"/>
    </row>
    <row r="649" spans="1:4" x14ac:dyDescent="0.2">
      <c r="A649" s="28"/>
      <c r="D649" s="32"/>
    </row>
    <row r="650" spans="1:4" x14ac:dyDescent="0.2">
      <c r="A650" s="28"/>
      <c r="D650" s="32"/>
    </row>
    <row r="651" spans="1:4" x14ac:dyDescent="0.2">
      <c r="A651" s="28"/>
      <c r="D651" s="32"/>
    </row>
    <row r="652" spans="1:4" x14ac:dyDescent="0.2">
      <c r="A652" s="28"/>
      <c r="D652" s="32"/>
    </row>
    <row r="653" spans="1:4" x14ac:dyDescent="0.2">
      <c r="A653" s="28"/>
      <c r="D653" s="32"/>
    </row>
    <row r="654" spans="1:4" x14ac:dyDescent="0.2">
      <c r="A654" s="28"/>
      <c r="D654" s="32"/>
    </row>
    <row r="655" spans="1:4" x14ac:dyDescent="0.2">
      <c r="A655" s="28"/>
      <c r="D655" s="32"/>
    </row>
    <row r="656" spans="1:4" x14ac:dyDescent="0.2">
      <c r="A656" s="28"/>
      <c r="D656" s="32"/>
    </row>
    <row r="657" spans="1:4" x14ac:dyDescent="0.2">
      <c r="A657" s="28"/>
      <c r="D657" s="32"/>
    </row>
    <row r="658" spans="1:4" x14ac:dyDescent="0.2">
      <c r="A658" s="28"/>
      <c r="D658" s="32"/>
    </row>
    <row r="659" spans="1:4" x14ac:dyDescent="0.2">
      <c r="A659" s="28"/>
      <c r="D659" s="32"/>
    </row>
    <row r="660" spans="1:4" x14ac:dyDescent="0.2">
      <c r="A660" s="28"/>
      <c r="D660" s="32"/>
    </row>
    <row r="661" spans="1:4" x14ac:dyDescent="0.2">
      <c r="A661" s="28"/>
      <c r="D661" s="32"/>
    </row>
    <row r="662" spans="1:4" x14ac:dyDescent="0.2">
      <c r="A662" s="28"/>
      <c r="D662" s="32"/>
    </row>
    <row r="663" spans="1:4" x14ac:dyDescent="0.2">
      <c r="A663" s="28"/>
      <c r="D663" s="32"/>
    </row>
    <row r="664" spans="1:4" x14ac:dyDescent="0.2">
      <c r="A664" s="28"/>
      <c r="D664" s="32"/>
    </row>
    <row r="665" spans="1:4" x14ac:dyDescent="0.2">
      <c r="A665" s="28"/>
      <c r="D665" s="32"/>
    </row>
    <row r="666" spans="1:4" x14ac:dyDescent="0.2">
      <c r="A666" s="28"/>
      <c r="D666" s="32"/>
    </row>
    <row r="667" spans="1:4" x14ac:dyDescent="0.2">
      <c r="A667" s="28"/>
      <c r="D667" s="32"/>
    </row>
    <row r="668" spans="1:4" x14ac:dyDescent="0.2">
      <c r="A668" s="28"/>
      <c r="D668" s="32"/>
    </row>
    <row r="669" spans="1:4" x14ac:dyDescent="0.2">
      <c r="A669" s="28"/>
      <c r="D669" s="32"/>
    </row>
    <row r="670" spans="1:4" x14ac:dyDescent="0.2">
      <c r="A670" s="28"/>
      <c r="D670" s="32"/>
    </row>
    <row r="671" spans="1:4" x14ac:dyDescent="0.2">
      <c r="A671" s="28"/>
      <c r="D671" s="32"/>
    </row>
    <row r="672" spans="1:4" x14ac:dyDescent="0.2">
      <c r="A672" s="28"/>
      <c r="D672" s="32"/>
    </row>
    <row r="673" spans="1:4" x14ac:dyDescent="0.2">
      <c r="A673" s="28"/>
      <c r="D673" s="32"/>
    </row>
    <row r="674" spans="1:4" x14ac:dyDescent="0.2">
      <c r="A674" s="28"/>
      <c r="D674" s="32"/>
    </row>
    <row r="675" spans="1:4" x14ac:dyDescent="0.2">
      <c r="A675" s="28"/>
      <c r="D675" s="32"/>
    </row>
    <row r="676" spans="1:4" x14ac:dyDescent="0.2">
      <c r="A676" s="28"/>
      <c r="D676" s="32"/>
    </row>
    <row r="677" spans="1:4" x14ac:dyDescent="0.2">
      <c r="A677" s="28"/>
      <c r="D677" s="32"/>
    </row>
    <row r="678" spans="1:4" x14ac:dyDescent="0.2">
      <c r="A678" s="28"/>
      <c r="D678" s="32"/>
    </row>
    <row r="679" spans="1:4" x14ac:dyDescent="0.2">
      <c r="A679" s="28"/>
      <c r="D679" s="32"/>
    </row>
    <row r="680" spans="1:4" x14ac:dyDescent="0.2">
      <c r="A680" s="28"/>
      <c r="D680" s="32"/>
    </row>
    <row r="681" spans="1:4" x14ac:dyDescent="0.2">
      <c r="A681" s="28"/>
      <c r="D681" s="32"/>
    </row>
    <row r="682" spans="1:4" x14ac:dyDescent="0.2">
      <c r="A682" s="28"/>
      <c r="D682" s="32"/>
    </row>
    <row r="683" spans="1:4" x14ac:dyDescent="0.2">
      <c r="A683" s="28"/>
      <c r="D683" s="32"/>
    </row>
    <row r="684" spans="1:4" x14ac:dyDescent="0.2">
      <c r="A684" s="28"/>
      <c r="D684" s="32"/>
    </row>
    <row r="685" spans="1:4" x14ac:dyDescent="0.2">
      <c r="A685" s="28"/>
      <c r="D685" s="32"/>
    </row>
    <row r="686" spans="1:4" x14ac:dyDescent="0.2">
      <c r="A686" s="28"/>
      <c r="D686" s="32"/>
    </row>
    <row r="687" spans="1:4" x14ac:dyDescent="0.2">
      <c r="A687" s="28"/>
      <c r="D687" s="32"/>
    </row>
    <row r="688" spans="1:4" x14ac:dyDescent="0.2">
      <c r="A688" s="28"/>
      <c r="D688" s="32"/>
    </row>
    <row r="689" spans="1:4" x14ac:dyDescent="0.2">
      <c r="A689" s="28"/>
      <c r="D689" s="32"/>
    </row>
    <row r="690" spans="1:4" x14ac:dyDescent="0.2">
      <c r="A690" s="28"/>
      <c r="D690" s="32"/>
    </row>
    <row r="691" spans="1:4" x14ac:dyDescent="0.2">
      <c r="A691" s="28"/>
      <c r="D691" s="32"/>
    </row>
    <row r="692" spans="1:4" x14ac:dyDescent="0.2">
      <c r="A692" s="28"/>
      <c r="D692" s="32"/>
    </row>
    <row r="693" spans="1:4" x14ac:dyDescent="0.2">
      <c r="A693" s="28"/>
      <c r="D693" s="32"/>
    </row>
    <row r="694" spans="1:4" x14ac:dyDescent="0.2">
      <c r="A694" s="28"/>
      <c r="D694" s="32"/>
    </row>
    <row r="695" spans="1:4" x14ac:dyDescent="0.2">
      <c r="A695" s="28"/>
      <c r="D695" s="32"/>
    </row>
    <row r="696" spans="1:4" x14ac:dyDescent="0.2">
      <c r="A696" s="28"/>
      <c r="D696" s="32"/>
    </row>
    <row r="697" spans="1:4" x14ac:dyDescent="0.2">
      <c r="A697" s="28"/>
      <c r="D697" s="32"/>
    </row>
    <row r="698" spans="1:4" x14ac:dyDescent="0.2">
      <c r="A698" s="28"/>
      <c r="D698" s="32"/>
    </row>
    <row r="699" spans="1:4" x14ac:dyDescent="0.2">
      <c r="A699" s="28"/>
      <c r="D699" s="32"/>
    </row>
    <row r="700" spans="1:4" x14ac:dyDescent="0.2">
      <c r="A700" s="28"/>
      <c r="D700" s="32"/>
    </row>
    <row r="701" spans="1:4" x14ac:dyDescent="0.2">
      <c r="A701" s="28"/>
      <c r="D701" s="32"/>
    </row>
    <row r="702" spans="1:4" x14ac:dyDescent="0.2">
      <c r="A702" s="28"/>
      <c r="D702" s="32"/>
    </row>
    <row r="703" spans="1:4" x14ac:dyDescent="0.2">
      <c r="A703" s="28"/>
      <c r="D703" s="32"/>
    </row>
    <row r="704" spans="1:4" x14ac:dyDescent="0.2">
      <c r="A704" s="28"/>
      <c r="D704" s="32"/>
    </row>
    <row r="705" spans="1:4" x14ac:dyDescent="0.2">
      <c r="A705" s="28"/>
      <c r="D705" s="32"/>
    </row>
    <row r="706" spans="1:4" x14ac:dyDescent="0.2">
      <c r="A706" s="28"/>
      <c r="D706" s="32"/>
    </row>
    <row r="707" spans="1:4" x14ac:dyDescent="0.2">
      <c r="A707" s="28"/>
      <c r="D707" s="32"/>
    </row>
    <row r="708" spans="1:4" x14ac:dyDescent="0.2">
      <c r="A708" s="28"/>
      <c r="D708" s="32"/>
    </row>
    <row r="709" spans="1:4" x14ac:dyDescent="0.2">
      <c r="A709" s="28"/>
      <c r="D709" s="32"/>
    </row>
    <row r="710" spans="1:4" x14ac:dyDescent="0.2">
      <c r="A710" s="28"/>
      <c r="D710" s="32"/>
    </row>
    <row r="711" spans="1:4" x14ac:dyDescent="0.2">
      <c r="A711" s="28"/>
      <c r="D711" s="32"/>
    </row>
    <row r="712" spans="1:4" x14ac:dyDescent="0.2">
      <c r="A712" s="28"/>
      <c r="D712" s="32"/>
    </row>
    <row r="713" spans="1:4" x14ac:dyDescent="0.2">
      <c r="A713" s="28"/>
      <c r="D713" s="32"/>
    </row>
    <row r="714" spans="1:4" x14ac:dyDescent="0.2">
      <c r="A714" s="28"/>
      <c r="D714" s="32"/>
    </row>
    <row r="715" spans="1:4" x14ac:dyDescent="0.2">
      <c r="A715" s="28"/>
      <c r="D715" s="32"/>
    </row>
    <row r="716" spans="1:4" x14ac:dyDescent="0.2">
      <c r="A716" s="28"/>
      <c r="D716" s="32"/>
    </row>
    <row r="717" spans="1:4" x14ac:dyDescent="0.2">
      <c r="A717" s="28"/>
      <c r="D717" s="32"/>
    </row>
    <row r="718" spans="1:4" x14ac:dyDescent="0.2">
      <c r="A718" s="28"/>
      <c r="D718" s="32"/>
    </row>
    <row r="719" spans="1:4" x14ac:dyDescent="0.2">
      <c r="A719" s="28"/>
      <c r="D719" s="32"/>
    </row>
    <row r="720" spans="1:4" x14ac:dyDescent="0.2">
      <c r="A720" s="28"/>
      <c r="D720" s="32"/>
    </row>
    <row r="721" spans="1:4" x14ac:dyDescent="0.2">
      <c r="A721" s="28"/>
      <c r="D721" s="32"/>
    </row>
    <row r="722" spans="1:4" x14ac:dyDescent="0.2">
      <c r="A722" s="28"/>
      <c r="D722" s="32"/>
    </row>
    <row r="723" spans="1:4" x14ac:dyDescent="0.2">
      <c r="A723" s="28"/>
      <c r="D723" s="32"/>
    </row>
    <row r="724" spans="1:4" x14ac:dyDescent="0.2">
      <c r="A724" s="28"/>
      <c r="D724" s="32"/>
    </row>
    <row r="725" spans="1:4" x14ac:dyDescent="0.2">
      <c r="A725" s="28"/>
      <c r="D725" s="32"/>
    </row>
    <row r="726" spans="1:4" x14ac:dyDescent="0.2">
      <c r="A726" s="28"/>
      <c r="D726" s="32"/>
    </row>
    <row r="727" spans="1:4" x14ac:dyDescent="0.2">
      <c r="A727" s="28"/>
      <c r="D727" s="32"/>
    </row>
    <row r="728" spans="1:4" x14ac:dyDescent="0.2">
      <c r="A728" s="28"/>
      <c r="D728" s="32"/>
    </row>
    <row r="729" spans="1:4" x14ac:dyDescent="0.2">
      <c r="A729" s="28"/>
      <c r="D729" s="32"/>
    </row>
    <row r="730" spans="1:4" x14ac:dyDescent="0.2">
      <c r="A730" s="28"/>
      <c r="D730" s="32"/>
    </row>
    <row r="731" spans="1:4" x14ac:dyDescent="0.2">
      <c r="A731" s="28"/>
      <c r="D731" s="32"/>
    </row>
    <row r="732" spans="1:4" x14ac:dyDescent="0.2">
      <c r="A732" s="28"/>
      <c r="D732" s="32"/>
    </row>
    <row r="733" spans="1:4" x14ac:dyDescent="0.2">
      <c r="A733" s="28"/>
      <c r="D733" s="32"/>
    </row>
    <row r="734" spans="1:4" x14ac:dyDescent="0.2">
      <c r="A734" s="28"/>
      <c r="D734" s="32"/>
    </row>
    <row r="735" spans="1:4" x14ac:dyDescent="0.2">
      <c r="A735" s="28"/>
      <c r="D735" s="32"/>
    </row>
    <row r="736" spans="1:4" x14ac:dyDescent="0.2">
      <c r="A736" s="28"/>
      <c r="D736" s="32"/>
    </row>
    <row r="737" spans="1:4" x14ac:dyDescent="0.2">
      <c r="A737" s="28"/>
      <c r="D737" s="32"/>
    </row>
    <row r="738" spans="1:4" x14ac:dyDescent="0.2">
      <c r="A738" s="28"/>
      <c r="D738" s="32"/>
    </row>
    <row r="739" spans="1:4" x14ac:dyDescent="0.2">
      <c r="A739" s="28"/>
      <c r="D739" s="32"/>
    </row>
    <row r="740" spans="1:4" x14ac:dyDescent="0.2">
      <c r="A740" s="28"/>
      <c r="D740" s="32"/>
    </row>
    <row r="741" spans="1:4" x14ac:dyDescent="0.2">
      <c r="A741" s="28"/>
      <c r="D741" s="32"/>
    </row>
    <row r="742" spans="1:4" x14ac:dyDescent="0.2">
      <c r="A742" s="28"/>
      <c r="D742" s="32"/>
    </row>
    <row r="743" spans="1:4" x14ac:dyDescent="0.2">
      <c r="A743" s="28"/>
      <c r="D743" s="32"/>
    </row>
    <row r="744" spans="1:4" x14ac:dyDescent="0.2">
      <c r="A744" s="28"/>
      <c r="D744" s="32"/>
    </row>
    <row r="745" spans="1:4" x14ac:dyDescent="0.2">
      <c r="A745" s="28"/>
      <c r="D745" s="32"/>
    </row>
    <row r="746" spans="1:4" x14ac:dyDescent="0.2">
      <c r="A746" s="28"/>
      <c r="D746" s="32"/>
    </row>
    <row r="747" spans="1:4" x14ac:dyDescent="0.2">
      <c r="A747" s="28"/>
      <c r="D747" s="32"/>
    </row>
    <row r="748" spans="1:4" x14ac:dyDescent="0.2">
      <c r="A748" s="28"/>
      <c r="D748" s="32"/>
    </row>
    <row r="749" spans="1:4" x14ac:dyDescent="0.2">
      <c r="D749" s="32"/>
    </row>
    <row r="750" spans="1:4" x14ac:dyDescent="0.2">
      <c r="D750" s="32"/>
    </row>
    <row r="751" spans="1:4" x14ac:dyDescent="0.2">
      <c r="D751" s="32"/>
    </row>
    <row r="752" spans="1:4" x14ac:dyDescent="0.2">
      <c r="D752" s="32"/>
    </row>
    <row r="753" spans="4:4" x14ac:dyDescent="0.2">
      <c r="D753" s="32"/>
    </row>
    <row r="754" spans="4:4" x14ac:dyDescent="0.2">
      <c r="D754" s="32"/>
    </row>
    <row r="755" spans="4:4" x14ac:dyDescent="0.2">
      <c r="D755" s="32"/>
    </row>
    <row r="756" spans="4:4" x14ac:dyDescent="0.2">
      <c r="D756" s="32"/>
    </row>
    <row r="757" spans="4:4" x14ac:dyDescent="0.2">
      <c r="D757" s="32"/>
    </row>
    <row r="758" spans="4:4" x14ac:dyDescent="0.2">
      <c r="D758" s="32"/>
    </row>
    <row r="759" spans="4:4" x14ac:dyDescent="0.2">
      <c r="D759" s="32"/>
    </row>
    <row r="760" spans="4:4" x14ac:dyDescent="0.2">
      <c r="D760" s="32"/>
    </row>
    <row r="761" spans="4:4" x14ac:dyDescent="0.2">
      <c r="D761" s="32"/>
    </row>
    <row r="762" spans="4:4" x14ac:dyDescent="0.2">
      <c r="D762" s="32"/>
    </row>
    <row r="763" spans="4:4" x14ac:dyDescent="0.2">
      <c r="D763" s="32"/>
    </row>
    <row r="764" spans="4:4" x14ac:dyDescent="0.2">
      <c r="D764" s="32"/>
    </row>
    <row r="765" spans="4:4" x14ac:dyDescent="0.2">
      <c r="D765" s="32"/>
    </row>
    <row r="766" spans="4:4" x14ac:dyDescent="0.2">
      <c r="D766" s="32"/>
    </row>
    <row r="767" spans="4:4" x14ac:dyDescent="0.2">
      <c r="D767" s="32"/>
    </row>
    <row r="768" spans="4:4" x14ac:dyDescent="0.2">
      <c r="D768" s="32"/>
    </row>
    <row r="769" spans="4:4" x14ac:dyDescent="0.2">
      <c r="D769" s="32"/>
    </row>
    <row r="770" spans="4:4" x14ac:dyDescent="0.2">
      <c r="D770" s="32"/>
    </row>
    <row r="771" spans="4:4" x14ac:dyDescent="0.2">
      <c r="D771" s="32"/>
    </row>
    <row r="772" spans="4:4" x14ac:dyDescent="0.2">
      <c r="D772" s="32"/>
    </row>
    <row r="773" spans="4:4" x14ac:dyDescent="0.2">
      <c r="D773" s="32"/>
    </row>
    <row r="774" spans="4:4" x14ac:dyDescent="0.2">
      <c r="D774" s="32"/>
    </row>
    <row r="775" spans="4:4" x14ac:dyDescent="0.2">
      <c r="D775" s="32"/>
    </row>
    <row r="776" spans="4:4" x14ac:dyDescent="0.2">
      <c r="D776" s="32"/>
    </row>
    <row r="777" spans="4:4" x14ac:dyDescent="0.2">
      <c r="D777" s="32"/>
    </row>
    <row r="778" spans="4:4" x14ac:dyDescent="0.2">
      <c r="D778" s="32"/>
    </row>
    <row r="779" spans="4:4" x14ac:dyDescent="0.2">
      <c r="D779" s="32"/>
    </row>
    <row r="780" spans="4:4" x14ac:dyDescent="0.2">
      <c r="D780" s="32"/>
    </row>
    <row r="781" spans="4:4" x14ac:dyDescent="0.2">
      <c r="D781" s="32"/>
    </row>
    <row r="782" spans="4:4" x14ac:dyDescent="0.2">
      <c r="D782" s="32"/>
    </row>
    <row r="783" spans="4:4" x14ac:dyDescent="0.2">
      <c r="D783" s="32"/>
    </row>
    <row r="784" spans="4:4" x14ac:dyDescent="0.2">
      <c r="D784" s="32"/>
    </row>
    <row r="785" spans="4:4" x14ac:dyDescent="0.2">
      <c r="D785" s="32"/>
    </row>
    <row r="786" spans="4:4" x14ac:dyDescent="0.2">
      <c r="D786" s="32"/>
    </row>
    <row r="787" spans="4:4" x14ac:dyDescent="0.2">
      <c r="D787" s="32"/>
    </row>
    <row r="788" spans="4:4" x14ac:dyDescent="0.2">
      <c r="D788" s="32"/>
    </row>
    <row r="789" spans="4:4" x14ac:dyDescent="0.2">
      <c r="D789" s="32"/>
    </row>
    <row r="790" spans="4:4" x14ac:dyDescent="0.2">
      <c r="D790" s="32"/>
    </row>
    <row r="791" spans="4:4" x14ac:dyDescent="0.2">
      <c r="D791" s="32"/>
    </row>
    <row r="792" spans="4:4" x14ac:dyDescent="0.2">
      <c r="D792" s="32"/>
    </row>
    <row r="793" spans="4:4" x14ac:dyDescent="0.2">
      <c r="D793" s="32"/>
    </row>
    <row r="794" spans="4:4" x14ac:dyDescent="0.2">
      <c r="D794" s="32"/>
    </row>
    <row r="795" spans="4:4" x14ac:dyDescent="0.2">
      <c r="D795" s="32"/>
    </row>
    <row r="796" spans="4:4" x14ac:dyDescent="0.2">
      <c r="D796" s="32"/>
    </row>
    <row r="797" spans="4:4" x14ac:dyDescent="0.2">
      <c r="D797" s="32"/>
    </row>
    <row r="798" spans="4:4" x14ac:dyDescent="0.2">
      <c r="D798" s="32"/>
    </row>
    <row r="799" spans="4:4" x14ac:dyDescent="0.2">
      <c r="D799" s="32"/>
    </row>
    <row r="800" spans="4:4" x14ac:dyDescent="0.2">
      <c r="D800" s="32"/>
    </row>
    <row r="801" spans="4:4" x14ac:dyDescent="0.2">
      <c r="D801" s="32"/>
    </row>
    <row r="802" spans="4:4" x14ac:dyDescent="0.2">
      <c r="D802" s="32"/>
    </row>
    <row r="803" spans="4:4" x14ac:dyDescent="0.2">
      <c r="D803" s="32"/>
    </row>
    <row r="804" spans="4:4" x14ac:dyDescent="0.2">
      <c r="D804" s="32"/>
    </row>
    <row r="805" spans="4:4" x14ac:dyDescent="0.2">
      <c r="D805" s="32"/>
    </row>
    <row r="806" spans="4:4" x14ac:dyDescent="0.2">
      <c r="D806" s="32"/>
    </row>
    <row r="807" spans="4:4" x14ac:dyDescent="0.2">
      <c r="D807" s="32"/>
    </row>
    <row r="808" spans="4:4" x14ac:dyDescent="0.2">
      <c r="D808" s="32"/>
    </row>
    <row r="809" spans="4:4" x14ac:dyDescent="0.2">
      <c r="D809" s="32"/>
    </row>
    <row r="810" spans="4:4" x14ac:dyDescent="0.2">
      <c r="D810" s="32"/>
    </row>
    <row r="811" spans="4:4" x14ac:dyDescent="0.2">
      <c r="D811" s="32"/>
    </row>
    <row r="812" spans="4:4" x14ac:dyDescent="0.2">
      <c r="D812" s="32"/>
    </row>
    <row r="813" spans="4:4" x14ac:dyDescent="0.2">
      <c r="D813" s="32"/>
    </row>
    <row r="814" spans="4:4" x14ac:dyDescent="0.2">
      <c r="D814" s="32"/>
    </row>
    <row r="815" spans="4:4" x14ac:dyDescent="0.2">
      <c r="D815" s="32"/>
    </row>
    <row r="816" spans="4:4" x14ac:dyDescent="0.2">
      <c r="D816" s="32"/>
    </row>
    <row r="817" spans="4:4" x14ac:dyDescent="0.2">
      <c r="D817" s="32"/>
    </row>
    <row r="818" spans="4:4" x14ac:dyDescent="0.2">
      <c r="D818" s="32"/>
    </row>
    <row r="819" spans="4:4" x14ac:dyDescent="0.2">
      <c r="D819" s="32"/>
    </row>
    <row r="820" spans="4:4" x14ac:dyDescent="0.2">
      <c r="D820" s="32"/>
    </row>
    <row r="821" spans="4:4" x14ac:dyDescent="0.2">
      <c r="D821" s="32"/>
    </row>
    <row r="822" spans="4:4" x14ac:dyDescent="0.2">
      <c r="D822" s="32"/>
    </row>
    <row r="823" spans="4:4" x14ac:dyDescent="0.2">
      <c r="D823" s="32"/>
    </row>
    <row r="824" spans="4:4" x14ac:dyDescent="0.2">
      <c r="D824" s="32"/>
    </row>
    <row r="825" spans="4:4" x14ac:dyDescent="0.2">
      <c r="D825" s="32"/>
    </row>
    <row r="826" spans="4:4" x14ac:dyDescent="0.2">
      <c r="D826" s="32"/>
    </row>
    <row r="827" spans="4:4" x14ac:dyDescent="0.2">
      <c r="D827" s="32"/>
    </row>
    <row r="828" spans="4:4" x14ac:dyDescent="0.2">
      <c r="D828" s="32"/>
    </row>
    <row r="829" spans="4:4" x14ac:dyDescent="0.2">
      <c r="D829" s="32"/>
    </row>
    <row r="830" spans="4:4" x14ac:dyDescent="0.2">
      <c r="D830" s="32"/>
    </row>
    <row r="831" spans="4:4" x14ac:dyDescent="0.2">
      <c r="D831" s="32"/>
    </row>
    <row r="832" spans="4:4" x14ac:dyDescent="0.2">
      <c r="D832" s="32"/>
    </row>
    <row r="833" spans="4:4" x14ac:dyDescent="0.2">
      <c r="D833" s="32"/>
    </row>
    <row r="834" spans="4:4" x14ac:dyDescent="0.2">
      <c r="D834" s="32"/>
    </row>
    <row r="835" spans="4:4" x14ac:dyDescent="0.2">
      <c r="D835" s="32"/>
    </row>
    <row r="836" spans="4:4" x14ac:dyDescent="0.2">
      <c r="D836" s="32"/>
    </row>
    <row r="837" spans="4:4" x14ac:dyDescent="0.2">
      <c r="D837" s="32"/>
    </row>
    <row r="838" spans="4:4" x14ac:dyDescent="0.2">
      <c r="D838" s="32"/>
    </row>
    <row r="839" spans="4:4" x14ac:dyDescent="0.2">
      <c r="D839" s="32"/>
    </row>
    <row r="840" spans="4:4" x14ac:dyDescent="0.2">
      <c r="D840" s="32"/>
    </row>
    <row r="841" spans="4:4" x14ac:dyDescent="0.2">
      <c r="D841" s="32"/>
    </row>
    <row r="842" spans="4:4" x14ac:dyDescent="0.2">
      <c r="D842" s="32"/>
    </row>
    <row r="843" spans="4:4" x14ac:dyDescent="0.2">
      <c r="D843" s="32"/>
    </row>
    <row r="844" spans="4:4" x14ac:dyDescent="0.2">
      <c r="D844" s="32"/>
    </row>
    <row r="845" spans="4:4" x14ac:dyDescent="0.2">
      <c r="D845" s="32"/>
    </row>
    <row r="846" spans="4:4" x14ac:dyDescent="0.2">
      <c r="D846" s="32"/>
    </row>
    <row r="847" spans="4:4" x14ac:dyDescent="0.2">
      <c r="D847" s="32"/>
    </row>
    <row r="848" spans="4:4" x14ac:dyDescent="0.2">
      <c r="D848" s="32"/>
    </row>
    <row r="849" spans="4:4" x14ac:dyDescent="0.2">
      <c r="D849" s="32"/>
    </row>
    <row r="850" spans="4:4" x14ac:dyDescent="0.2">
      <c r="D850" s="32"/>
    </row>
    <row r="851" spans="4:4" x14ac:dyDescent="0.2">
      <c r="D851" s="32"/>
    </row>
    <row r="852" spans="4:4" x14ac:dyDescent="0.2">
      <c r="D852" s="32"/>
    </row>
    <row r="853" spans="4:4" x14ac:dyDescent="0.2">
      <c r="D853" s="32"/>
    </row>
    <row r="854" spans="4:4" x14ac:dyDescent="0.2">
      <c r="D854" s="32"/>
    </row>
    <row r="855" spans="4:4" x14ac:dyDescent="0.2">
      <c r="D855" s="32"/>
    </row>
    <row r="856" spans="4:4" x14ac:dyDescent="0.2">
      <c r="D856" s="32"/>
    </row>
    <row r="857" spans="4:4" x14ac:dyDescent="0.2">
      <c r="D857" s="32"/>
    </row>
    <row r="858" spans="4:4" x14ac:dyDescent="0.2">
      <c r="D858" s="32"/>
    </row>
    <row r="859" spans="4:4" x14ac:dyDescent="0.2">
      <c r="D859" s="32"/>
    </row>
    <row r="860" spans="4:4" x14ac:dyDescent="0.2">
      <c r="D860" s="32"/>
    </row>
    <row r="861" spans="4:4" x14ac:dyDescent="0.2">
      <c r="D861" s="32"/>
    </row>
    <row r="862" spans="4:4" x14ac:dyDescent="0.2">
      <c r="D862" s="32"/>
    </row>
    <row r="863" spans="4:4" x14ac:dyDescent="0.2">
      <c r="D863" s="32"/>
    </row>
    <row r="864" spans="4:4" x14ac:dyDescent="0.2">
      <c r="D864" s="32"/>
    </row>
    <row r="865" spans="4:4" x14ac:dyDescent="0.2">
      <c r="D865" s="32"/>
    </row>
    <row r="866" spans="4:4" x14ac:dyDescent="0.2">
      <c r="D866" s="32"/>
    </row>
    <row r="867" spans="4:4" x14ac:dyDescent="0.2">
      <c r="D867" s="32"/>
    </row>
    <row r="868" spans="4:4" x14ac:dyDescent="0.2">
      <c r="D868" s="32"/>
    </row>
    <row r="869" spans="4:4" x14ac:dyDescent="0.2">
      <c r="D869" s="32"/>
    </row>
    <row r="870" spans="4:4" x14ac:dyDescent="0.2">
      <c r="D870" s="32"/>
    </row>
    <row r="871" spans="4:4" x14ac:dyDescent="0.2">
      <c r="D871" s="32"/>
    </row>
    <row r="872" spans="4:4" x14ac:dyDescent="0.2">
      <c r="D872" s="32"/>
    </row>
    <row r="873" spans="4:4" x14ac:dyDescent="0.2">
      <c r="D873" s="32"/>
    </row>
    <row r="874" spans="4:4" x14ac:dyDescent="0.2">
      <c r="D874" s="32"/>
    </row>
    <row r="875" spans="4:4" x14ac:dyDescent="0.2">
      <c r="D875" s="32"/>
    </row>
    <row r="876" spans="4:4" x14ac:dyDescent="0.2">
      <c r="D876" s="32"/>
    </row>
    <row r="877" spans="4:4" x14ac:dyDescent="0.2">
      <c r="D877" s="32"/>
    </row>
    <row r="878" spans="4:4" x14ac:dyDescent="0.2">
      <c r="D878" s="32"/>
    </row>
    <row r="879" spans="4:4" x14ac:dyDescent="0.2">
      <c r="D879" s="32"/>
    </row>
    <row r="880" spans="4:4" x14ac:dyDescent="0.2">
      <c r="D880" s="32"/>
    </row>
    <row r="881" spans="4:4" x14ac:dyDescent="0.2">
      <c r="D881" s="32"/>
    </row>
    <row r="882" spans="4:4" x14ac:dyDescent="0.2">
      <c r="D882" s="32"/>
    </row>
    <row r="883" spans="4:4" x14ac:dyDescent="0.2">
      <c r="D883" s="32"/>
    </row>
    <row r="884" spans="4:4" x14ac:dyDescent="0.2">
      <c r="D884" s="32"/>
    </row>
    <row r="885" spans="4:4" x14ac:dyDescent="0.2">
      <c r="D885" s="32"/>
    </row>
    <row r="886" spans="4:4" x14ac:dyDescent="0.2">
      <c r="D886" s="32"/>
    </row>
    <row r="887" spans="4:4" x14ac:dyDescent="0.2">
      <c r="D887" s="32"/>
    </row>
    <row r="888" spans="4:4" x14ac:dyDescent="0.2">
      <c r="D888" s="32"/>
    </row>
    <row r="889" spans="4:4" x14ac:dyDescent="0.2">
      <c r="D889" s="32"/>
    </row>
    <row r="890" spans="4:4" x14ac:dyDescent="0.2">
      <c r="D890" s="32"/>
    </row>
    <row r="891" spans="4:4" x14ac:dyDescent="0.2">
      <c r="D891" s="32"/>
    </row>
    <row r="892" spans="4:4" x14ac:dyDescent="0.2">
      <c r="D892" s="32"/>
    </row>
    <row r="893" spans="4:4" x14ac:dyDescent="0.2">
      <c r="D893" s="32"/>
    </row>
    <row r="894" spans="4:4" x14ac:dyDescent="0.2">
      <c r="D894" s="32"/>
    </row>
    <row r="895" spans="4:4" x14ac:dyDescent="0.2">
      <c r="D895" s="32"/>
    </row>
    <row r="896" spans="4:4" x14ac:dyDescent="0.2">
      <c r="D896" s="32"/>
    </row>
    <row r="897" spans="4:4" x14ac:dyDescent="0.2">
      <c r="D897" s="32"/>
    </row>
    <row r="898" spans="4:4" x14ac:dyDescent="0.2">
      <c r="D898" s="32"/>
    </row>
    <row r="899" spans="4:4" x14ac:dyDescent="0.2">
      <c r="D899" s="32"/>
    </row>
    <row r="900" spans="4:4" x14ac:dyDescent="0.2">
      <c r="D900" s="32"/>
    </row>
    <row r="901" spans="4:4" x14ac:dyDescent="0.2">
      <c r="D901" s="32"/>
    </row>
    <row r="902" spans="4:4" x14ac:dyDescent="0.2">
      <c r="D902" s="32"/>
    </row>
    <row r="903" spans="4:4" x14ac:dyDescent="0.2">
      <c r="D903" s="32"/>
    </row>
    <row r="904" spans="4:4" x14ac:dyDescent="0.2">
      <c r="D904" s="32"/>
    </row>
    <row r="905" spans="4:4" x14ac:dyDescent="0.2">
      <c r="D905" s="32"/>
    </row>
    <row r="906" spans="4:4" x14ac:dyDescent="0.2">
      <c r="D906" s="32"/>
    </row>
    <row r="907" spans="4:4" x14ac:dyDescent="0.2">
      <c r="D907" s="32"/>
    </row>
    <row r="908" spans="4:4" x14ac:dyDescent="0.2">
      <c r="D908" s="32"/>
    </row>
    <row r="909" spans="4:4" x14ac:dyDescent="0.2">
      <c r="D909" s="32"/>
    </row>
    <row r="910" spans="4:4" x14ac:dyDescent="0.2">
      <c r="D910" s="32"/>
    </row>
    <row r="911" spans="4:4" x14ac:dyDescent="0.2">
      <c r="D911" s="32"/>
    </row>
    <row r="912" spans="4:4" x14ac:dyDescent="0.2">
      <c r="D912" s="32"/>
    </row>
    <row r="913" spans="4:4" x14ac:dyDescent="0.2">
      <c r="D913" s="32"/>
    </row>
    <row r="914" spans="4:4" x14ac:dyDescent="0.2">
      <c r="D914" s="32"/>
    </row>
    <row r="915" spans="4:4" x14ac:dyDescent="0.2">
      <c r="D915" s="32"/>
    </row>
    <row r="916" spans="4:4" x14ac:dyDescent="0.2">
      <c r="D916" s="32"/>
    </row>
    <row r="917" spans="4:4" x14ac:dyDescent="0.2">
      <c r="D917" s="32"/>
    </row>
    <row r="918" spans="4:4" x14ac:dyDescent="0.2">
      <c r="D918" s="32"/>
    </row>
    <row r="919" spans="4:4" x14ac:dyDescent="0.2">
      <c r="D919" s="32"/>
    </row>
    <row r="920" spans="4:4" x14ac:dyDescent="0.2">
      <c r="D920" s="32"/>
    </row>
    <row r="921" spans="4:4" x14ac:dyDescent="0.2">
      <c r="D921" s="32"/>
    </row>
    <row r="922" spans="4:4" x14ac:dyDescent="0.2">
      <c r="D922" s="32"/>
    </row>
    <row r="923" spans="4:4" x14ac:dyDescent="0.2">
      <c r="D923" s="32"/>
    </row>
    <row r="924" spans="4:4" x14ac:dyDescent="0.2">
      <c r="D924" s="32"/>
    </row>
    <row r="925" spans="4:4" x14ac:dyDescent="0.2">
      <c r="D925" s="32"/>
    </row>
    <row r="926" spans="4:4" x14ac:dyDescent="0.2">
      <c r="D926" s="32"/>
    </row>
    <row r="927" spans="4:4" x14ac:dyDescent="0.2">
      <c r="D927" s="32"/>
    </row>
    <row r="928" spans="4:4" x14ac:dyDescent="0.2">
      <c r="D928" s="32"/>
    </row>
    <row r="929" spans="4:4" x14ac:dyDescent="0.2">
      <c r="D929" s="32"/>
    </row>
    <row r="930" spans="4:4" x14ac:dyDescent="0.2">
      <c r="D930" s="32"/>
    </row>
    <row r="931" spans="4:4" x14ac:dyDescent="0.2">
      <c r="D931" s="32"/>
    </row>
    <row r="932" spans="4:4" x14ac:dyDescent="0.2">
      <c r="D932" s="32"/>
    </row>
    <row r="933" spans="4:4" x14ac:dyDescent="0.2">
      <c r="D933" s="32"/>
    </row>
    <row r="934" spans="4:4" x14ac:dyDescent="0.2">
      <c r="D934" s="32"/>
    </row>
    <row r="935" spans="4:4" x14ac:dyDescent="0.2">
      <c r="D935" s="32"/>
    </row>
    <row r="936" spans="4:4" x14ac:dyDescent="0.2">
      <c r="D936" s="32"/>
    </row>
    <row r="937" spans="4:4" x14ac:dyDescent="0.2">
      <c r="D937" s="32"/>
    </row>
    <row r="938" spans="4:4" x14ac:dyDescent="0.2">
      <c r="D938" s="32"/>
    </row>
    <row r="939" spans="4:4" x14ac:dyDescent="0.2">
      <c r="D939" s="32"/>
    </row>
    <row r="940" spans="4:4" x14ac:dyDescent="0.2">
      <c r="D940" s="32"/>
    </row>
    <row r="941" spans="4:4" x14ac:dyDescent="0.2">
      <c r="D941" s="32"/>
    </row>
    <row r="942" spans="4:4" x14ac:dyDescent="0.2">
      <c r="D942" s="32"/>
    </row>
    <row r="943" spans="4:4" x14ac:dyDescent="0.2">
      <c r="D943" s="32"/>
    </row>
    <row r="944" spans="4:4" x14ac:dyDescent="0.2">
      <c r="D944" s="32"/>
    </row>
    <row r="945" spans="4:4" x14ac:dyDescent="0.2">
      <c r="D945" s="32"/>
    </row>
    <row r="946" spans="4:4" x14ac:dyDescent="0.2">
      <c r="D946" s="32"/>
    </row>
    <row r="947" spans="4:4" x14ac:dyDescent="0.2">
      <c r="D947" s="32"/>
    </row>
    <row r="948" spans="4:4" x14ac:dyDescent="0.2">
      <c r="D948" s="32"/>
    </row>
    <row r="949" spans="4:4" x14ac:dyDescent="0.2">
      <c r="D949" s="32"/>
    </row>
    <row r="950" spans="4:4" x14ac:dyDescent="0.2">
      <c r="D950" s="32"/>
    </row>
    <row r="951" spans="4:4" x14ac:dyDescent="0.2">
      <c r="D951" s="32"/>
    </row>
    <row r="952" spans="4:4" x14ac:dyDescent="0.2">
      <c r="D952" s="32"/>
    </row>
    <row r="953" spans="4:4" x14ac:dyDescent="0.2">
      <c r="D953" s="32"/>
    </row>
    <row r="954" spans="4:4" x14ac:dyDescent="0.2">
      <c r="D954" s="32"/>
    </row>
    <row r="955" spans="4:4" x14ac:dyDescent="0.2">
      <c r="D955" s="32"/>
    </row>
    <row r="956" spans="4:4" x14ac:dyDescent="0.2">
      <c r="D956" s="32"/>
    </row>
    <row r="957" spans="4:4" x14ac:dyDescent="0.2">
      <c r="D957" s="32"/>
    </row>
    <row r="958" spans="4:4" x14ac:dyDescent="0.2">
      <c r="D958" s="32"/>
    </row>
    <row r="959" spans="4:4" x14ac:dyDescent="0.2">
      <c r="D959" s="32"/>
    </row>
    <row r="960" spans="4:4" x14ac:dyDescent="0.2">
      <c r="D960" s="32"/>
    </row>
    <row r="961" spans="4:4" x14ac:dyDescent="0.2">
      <c r="D961" s="32"/>
    </row>
    <row r="962" spans="4:4" x14ac:dyDescent="0.2">
      <c r="D962" s="32"/>
    </row>
    <row r="963" spans="4:4" x14ac:dyDescent="0.2">
      <c r="D963" s="32"/>
    </row>
    <row r="964" spans="4:4" x14ac:dyDescent="0.2">
      <c r="D964" s="32"/>
    </row>
    <row r="965" spans="4:4" x14ac:dyDescent="0.2">
      <c r="D965" s="32"/>
    </row>
    <row r="966" spans="4:4" x14ac:dyDescent="0.2">
      <c r="D966" s="32"/>
    </row>
    <row r="967" spans="4:4" x14ac:dyDescent="0.2">
      <c r="D967" s="32"/>
    </row>
    <row r="968" spans="4:4" x14ac:dyDescent="0.2">
      <c r="D968" s="32"/>
    </row>
    <row r="969" spans="4:4" x14ac:dyDescent="0.2">
      <c r="D969" s="32"/>
    </row>
    <row r="970" spans="4:4" x14ac:dyDescent="0.2">
      <c r="D970" s="32"/>
    </row>
    <row r="971" spans="4:4" x14ac:dyDescent="0.2">
      <c r="D971" s="32"/>
    </row>
    <row r="972" spans="4:4" x14ac:dyDescent="0.2">
      <c r="D972" s="32"/>
    </row>
    <row r="973" spans="4:4" x14ac:dyDescent="0.2">
      <c r="D973" s="32"/>
    </row>
    <row r="974" spans="4:4" x14ac:dyDescent="0.2">
      <c r="D974" s="32"/>
    </row>
    <row r="975" spans="4:4" x14ac:dyDescent="0.2">
      <c r="D975" s="32"/>
    </row>
    <row r="976" spans="4:4" x14ac:dyDescent="0.2">
      <c r="D976" s="32"/>
    </row>
    <row r="977" spans="4:4" x14ac:dyDescent="0.2">
      <c r="D977" s="32"/>
    </row>
    <row r="978" spans="4:4" x14ac:dyDescent="0.2">
      <c r="D978" s="32"/>
    </row>
    <row r="979" spans="4:4" x14ac:dyDescent="0.2">
      <c r="D979" s="32"/>
    </row>
    <row r="980" spans="4:4" x14ac:dyDescent="0.2">
      <c r="D980" s="32"/>
    </row>
    <row r="981" spans="4:4" x14ac:dyDescent="0.2">
      <c r="D981" s="32"/>
    </row>
    <row r="982" spans="4:4" x14ac:dyDescent="0.2">
      <c r="D982" s="32"/>
    </row>
    <row r="983" spans="4:4" x14ac:dyDescent="0.2">
      <c r="D983" s="32"/>
    </row>
    <row r="984" spans="4:4" x14ac:dyDescent="0.2">
      <c r="D984" s="32"/>
    </row>
    <row r="985" spans="4:4" x14ac:dyDescent="0.2">
      <c r="D985" s="32"/>
    </row>
    <row r="986" spans="4:4" x14ac:dyDescent="0.2">
      <c r="D986" s="32"/>
    </row>
    <row r="987" spans="4:4" x14ac:dyDescent="0.2">
      <c r="D987" s="32"/>
    </row>
    <row r="988" spans="4:4" x14ac:dyDescent="0.2">
      <c r="D988" s="32"/>
    </row>
    <row r="989" spans="4:4" x14ac:dyDescent="0.2">
      <c r="D989" s="32"/>
    </row>
    <row r="990" spans="4:4" x14ac:dyDescent="0.2">
      <c r="D990" s="32"/>
    </row>
    <row r="991" spans="4:4" x14ac:dyDescent="0.2">
      <c r="D991" s="32"/>
    </row>
    <row r="992" spans="4:4" x14ac:dyDescent="0.2">
      <c r="D992" s="32"/>
    </row>
    <row r="993" spans="4:4" x14ac:dyDescent="0.2">
      <c r="D993" s="32"/>
    </row>
    <row r="994" spans="4:4" x14ac:dyDescent="0.2">
      <c r="D994" s="32"/>
    </row>
    <row r="995" spans="4:4" x14ac:dyDescent="0.2">
      <c r="D995" s="32"/>
    </row>
    <row r="996" spans="4:4" x14ac:dyDescent="0.2">
      <c r="D996" s="32"/>
    </row>
    <row r="997" spans="4:4" x14ac:dyDescent="0.2">
      <c r="D997" s="32"/>
    </row>
    <row r="998" spans="4:4" x14ac:dyDescent="0.2">
      <c r="D998" s="32"/>
    </row>
    <row r="999" spans="4:4" x14ac:dyDescent="0.2">
      <c r="D999" s="32"/>
    </row>
    <row r="1000" spans="4:4" x14ac:dyDescent="0.2">
      <c r="D1000" s="32"/>
    </row>
    <row r="1001" spans="4:4" x14ac:dyDescent="0.2">
      <c r="D1001" s="32"/>
    </row>
    <row r="1002" spans="4:4" x14ac:dyDescent="0.2">
      <c r="D1002" s="32"/>
    </row>
    <row r="1003" spans="4:4" x14ac:dyDescent="0.2">
      <c r="D1003" s="32"/>
    </row>
    <row r="1004" spans="4:4" x14ac:dyDescent="0.2">
      <c r="D1004" s="32"/>
    </row>
    <row r="1005" spans="4:4" x14ac:dyDescent="0.2">
      <c r="D1005" s="32"/>
    </row>
    <row r="1006" spans="4:4" x14ac:dyDescent="0.2">
      <c r="D1006" s="32"/>
    </row>
    <row r="1007" spans="4:4" x14ac:dyDescent="0.2">
      <c r="D1007" s="32"/>
    </row>
    <row r="1008" spans="4:4" x14ac:dyDescent="0.2">
      <c r="D1008" s="32"/>
    </row>
    <row r="1009" spans="4:4" x14ac:dyDescent="0.2">
      <c r="D1009" s="32"/>
    </row>
    <row r="1010" spans="4:4" x14ac:dyDescent="0.2">
      <c r="D1010" s="32"/>
    </row>
    <row r="1011" spans="4:4" x14ac:dyDescent="0.2">
      <c r="D1011" s="32"/>
    </row>
    <row r="1012" spans="4:4" x14ac:dyDescent="0.2">
      <c r="D1012" s="32"/>
    </row>
    <row r="1013" spans="4:4" x14ac:dyDescent="0.2">
      <c r="D1013" s="32"/>
    </row>
    <row r="1014" spans="4:4" x14ac:dyDescent="0.2">
      <c r="D1014" s="32"/>
    </row>
    <row r="1015" spans="4:4" x14ac:dyDescent="0.2">
      <c r="D1015" s="32"/>
    </row>
    <row r="1016" spans="4:4" x14ac:dyDescent="0.2">
      <c r="D1016" s="32"/>
    </row>
    <row r="1017" spans="4:4" x14ac:dyDescent="0.2">
      <c r="D1017" s="32"/>
    </row>
    <row r="1018" spans="4:4" x14ac:dyDescent="0.2">
      <c r="D1018" s="32"/>
    </row>
    <row r="1019" spans="4:4" x14ac:dyDescent="0.2">
      <c r="D1019" s="32"/>
    </row>
    <row r="1020" spans="4:4" x14ac:dyDescent="0.2">
      <c r="D1020" s="32"/>
    </row>
    <row r="1021" spans="4:4" x14ac:dyDescent="0.2">
      <c r="D1021" s="32"/>
    </row>
    <row r="1022" spans="4:4" x14ac:dyDescent="0.2">
      <c r="D1022" s="32"/>
    </row>
    <row r="1023" spans="4:4" x14ac:dyDescent="0.2">
      <c r="D1023" s="32"/>
    </row>
    <row r="1024" spans="4:4" x14ac:dyDescent="0.2">
      <c r="D1024" s="32"/>
    </row>
    <row r="1025" spans="4:4" x14ac:dyDescent="0.2">
      <c r="D1025" s="32"/>
    </row>
    <row r="1026" spans="4:4" x14ac:dyDescent="0.2">
      <c r="D1026" s="32"/>
    </row>
    <row r="1027" spans="4:4" x14ac:dyDescent="0.2">
      <c r="D1027" s="32"/>
    </row>
    <row r="1028" spans="4:4" x14ac:dyDescent="0.2">
      <c r="D1028" s="32"/>
    </row>
    <row r="1029" spans="4:4" x14ac:dyDescent="0.2">
      <c r="D1029" s="32"/>
    </row>
    <row r="1030" spans="4:4" x14ac:dyDescent="0.2">
      <c r="D1030" s="32"/>
    </row>
    <row r="1031" spans="4:4" x14ac:dyDescent="0.2">
      <c r="D1031" s="32"/>
    </row>
    <row r="1032" spans="4:4" x14ac:dyDescent="0.2">
      <c r="D1032" s="32"/>
    </row>
    <row r="1033" spans="4:4" x14ac:dyDescent="0.2">
      <c r="D1033" s="32"/>
    </row>
    <row r="1034" spans="4:4" x14ac:dyDescent="0.2">
      <c r="D1034" s="32"/>
    </row>
    <row r="1035" spans="4:4" x14ac:dyDescent="0.2">
      <c r="D1035" s="32"/>
    </row>
    <row r="1036" spans="4:4" x14ac:dyDescent="0.2">
      <c r="D1036" s="32"/>
    </row>
    <row r="1037" spans="4:4" x14ac:dyDescent="0.2">
      <c r="D1037" s="32"/>
    </row>
    <row r="1038" spans="4:4" x14ac:dyDescent="0.2">
      <c r="D1038" s="32"/>
    </row>
    <row r="1039" spans="4:4" x14ac:dyDescent="0.2">
      <c r="D1039" s="32"/>
    </row>
    <row r="1040" spans="4:4" x14ac:dyDescent="0.2">
      <c r="D1040" s="32"/>
    </row>
    <row r="1041" spans="4:4" x14ac:dyDescent="0.2">
      <c r="D1041" s="32"/>
    </row>
    <row r="1042" spans="4:4" x14ac:dyDescent="0.2">
      <c r="D1042" s="32"/>
    </row>
    <row r="1043" spans="4:4" x14ac:dyDescent="0.2">
      <c r="D1043" s="32"/>
    </row>
    <row r="1044" spans="4:4" x14ac:dyDescent="0.2">
      <c r="D1044" s="32"/>
    </row>
    <row r="1045" spans="4:4" x14ac:dyDescent="0.2">
      <c r="D1045" s="32"/>
    </row>
    <row r="1046" spans="4:4" x14ac:dyDescent="0.2">
      <c r="D1046" s="32"/>
    </row>
    <row r="1047" spans="4:4" x14ac:dyDescent="0.2">
      <c r="D1047" s="32"/>
    </row>
    <row r="1048" spans="4:4" x14ac:dyDescent="0.2">
      <c r="D1048" s="32"/>
    </row>
    <row r="1049" spans="4:4" x14ac:dyDescent="0.2">
      <c r="D1049" s="32"/>
    </row>
    <row r="1050" spans="4:4" x14ac:dyDescent="0.2">
      <c r="D1050" s="32"/>
    </row>
    <row r="1051" spans="4:4" x14ac:dyDescent="0.2">
      <c r="D1051" s="32"/>
    </row>
    <row r="1052" spans="4:4" x14ac:dyDescent="0.2">
      <c r="D1052" s="32"/>
    </row>
    <row r="1053" spans="4:4" x14ac:dyDescent="0.2">
      <c r="D1053" s="32"/>
    </row>
    <row r="1054" spans="4:4" x14ac:dyDescent="0.2">
      <c r="D1054" s="32"/>
    </row>
    <row r="1055" spans="4:4" x14ac:dyDescent="0.2">
      <c r="D1055" s="32"/>
    </row>
    <row r="1056" spans="4:4" x14ac:dyDescent="0.2">
      <c r="D1056" s="32"/>
    </row>
    <row r="1057" spans="4:4" x14ac:dyDescent="0.2">
      <c r="D1057" s="32"/>
    </row>
    <row r="1058" spans="4:4" x14ac:dyDescent="0.2">
      <c r="D1058" s="32"/>
    </row>
    <row r="1059" spans="4:4" x14ac:dyDescent="0.2">
      <c r="D1059" s="32"/>
    </row>
    <row r="1060" spans="4:4" x14ac:dyDescent="0.2">
      <c r="D1060" s="32"/>
    </row>
    <row r="1061" spans="4:4" x14ac:dyDescent="0.2">
      <c r="D1061" s="32"/>
    </row>
    <row r="1062" spans="4:4" x14ac:dyDescent="0.2">
      <c r="D1062" s="32"/>
    </row>
    <row r="1063" spans="4:4" x14ac:dyDescent="0.2">
      <c r="D1063" s="32"/>
    </row>
    <row r="1064" spans="4:4" x14ac:dyDescent="0.2">
      <c r="D1064" s="32"/>
    </row>
    <row r="1065" spans="4:4" x14ac:dyDescent="0.2">
      <c r="D1065" s="32"/>
    </row>
    <row r="1066" spans="4:4" x14ac:dyDescent="0.2">
      <c r="D1066" s="32"/>
    </row>
    <row r="1067" spans="4:4" x14ac:dyDescent="0.2">
      <c r="D1067" s="32"/>
    </row>
    <row r="1068" spans="4:4" x14ac:dyDescent="0.2">
      <c r="D1068" s="32"/>
    </row>
    <row r="1069" spans="4:4" x14ac:dyDescent="0.2">
      <c r="D1069" s="32"/>
    </row>
    <row r="1070" spans="4:4" x14ac:dyDescent="0.2">
      <c r="D1070" s="32"/>
    </row>
    <row r="1071" spans="4:4" x14ac:dyDescent="0.2">
      <c r="D1071" s="32"/>
    </row>
    <row r="1072" spans="4:4" x14ac:dyDescent="0.2">
      <c r="D1072" s="32"/>
    </row>
    <row r="1073" spans="4:4" x14ac:dyDescent="0.2">
      <c r="D1073" s="32"/>
    </row>
    <row r="1074" spans="4:4" x14ac:dyDescent="0.2">
      <c r="D1074" s="32"/>
    </row>
    <row r="1075" spans="4:4" x14ac:dyDescent="0.2">
      <c r="D1075" s="32"/>
    </row>
    <row r="1076" spans="4:4" x14ac:dyDescent="0.2">
      <c r="D1076" s="32"/>
    </row>
    <row r="1077" spans="4:4" x14ac:dyDescent="0.2">
      <c r="D1077" s="32"/>
    </row>
    <row r="1078" spans="4:4" x14ac:dyDescent="0.2">
      <c r="D1078" s="32"/>
    </row>
    <row r="1079" spans="4:4" x14ac:dyDescent="0.2">
      <c r="D1079" s="32"/>
    </row>
    <row r="1080" spans="4:4" x14ac:dyDescent="0.2">
      <c r="D1080" s="32"/>
    </row>
    <row r="1081" spans="4:4" x14ac:dyDescent="0.2">
      <c r="D1081" s="32"/>
    </row>
    <row r="1082" spans="4:4" x14ac:dyDescent="0.2">
      <c r="D1082" s="32"/>
    </row>
    <row r="1083" spans="4:4" x14ac:dyDescent="0.2">
      <c r="D1083" s="32"/>
    </row>
    <row r="1084" spans="4:4" x14ac:dyDescent="0.2">
      <c r="D1084" s="32"/>
    </row>
    <row r="1085" spans="4:4" x14ac:dyDescent="0.2">
      <c r="D1085" s="32"/>
    </row>
    <row r="1086" spans="4:4" x14ac:dyDescent="0.2">
      <c r="D1086" s="32"/>
    </row>
    <row r="1087" spans="4:4" x14ac:dyDescent="0.2">
      <c r="D1087" s="32"/>
    </row>
    <row r="1088" spans="4:4" x14ac:dyDescent="0.2">
      <c r="D1088" s="32"/>
    </row>
    <row r="1089" spans="4:4" x14ac:dyDescent="0.2">
      <c r="D1089" s="32"/>
    </row>
    <row r="1090" spans="4:4" x14ac:dyDescent="0.2">
      <c r="D1090" s="32"/>
    </row>
    <row r="1091" spans="4:4" x14ac:dyDescent="0.2">
      <c r="D1091" s="32"/>
    </row>
    <row r="1092" spans="4:4" x14ac:dyDescent="0.2">
      <c r="D1092" s="32"/>
    </row>
    <row r="1093" spans="4:4" x14ac:dyDescent="0.2">
      <c r="D1093" s="32"/>
    </row>
    <row r="1094" spans="4:4" x14ac:dyDescent="0.2">
      <c r="D1094" s="32"/>
    </row>
    <row r="1095" spans="4:4" x14ac:dyDescent="0.2">
      <c r="D1095" s="32"/>
    </row>
    <row r="1096" spans="4:4" x14ac:dyDescent="0.2">
      <c r="D1096" s="32"/>
    </row>
    <row r="1097" spans="4:4" x14ac:dyDescent="0.2">
      <c r="D1097" s="32"/>
    </row>
    <row r="1098" spans="4:4" x14ac:dyDescent="0.2">
      <c r="D1098" s="32"/>
    </row>
    <row r="1099" spans="4:4" x14ac:dyDescent="0.2">
      <c r="D1099" s="32"/>
    </row>
    <row r="1100" spans="4:4" x14ac:dyDescent="0.2">
      <c r="D1100" s="32"/>
    </row>
    <row r="1101" spans="4:4" x14ac:dyDescent="0.2">
      <c r="D1101" s="32"/>
    </row>
    <row r="1102" spans="4:4" x14ac:dyDescent="0.2">
      <c r="D1102" s="32"/>
    </row>
    <row r="1103" spans="4:4" x14ac:dyDescent="0.2">
      <c r="D1103" s="32"/>
    </row>
    <row r="1104" spans="4:4" x14ac:dyDescent="0.2">
      <c r="D1104" s="32"/>
    </row>
    <row r="1105" spans="4:4" x14ac:dyDescent="0.2">
      <c r="D1105" s="32"/>
    </row>
    <row r="1106" spans="4:4" x14ac:dyDescent="0.2">
      <c r="D1106" s="32"/>
    </row>
    <row r="1107" spans="4:4" x14ac:dyDescent="0.2">
      <c r="D1107" s="32"/>
    </row>
    <row r="1108" spans="4:4" x14ac:dyDescent="0.2">
      <c r="D1108" s="32"/>
    </row>
    <row r="1109" spans="4:4" x14ac:dyDescent="0.2">
      <c r="D1109" s="32"/>
    </row>
    <row r="1110" spans="4:4" x14ac:dyDescent="0.2">
      <c r="D1110" s="32"/>
    </row>
    <row r="1111" spans="4:4" x14ac:dyDescent="0.2">
      <c r="D1111" s="32"/>
    </row>
    <row r="1112" spans="4:4" x14ac:dyDescent="0.2">
      <c r="D1112" s="32"/>
    </row>
    <row r="1113" spans="4:4" x14ac:dyDescent="0.2">
      <c r="D1113" s="32"/>
    </row>
    <row r="1114" spans="4:4" x14ac:dyDescent="0.2">
      <c r="D1114" s="32"/>
    </row>
    <row r="1115" spans="4:4" x14ac:dyDescent="0.2">
      <c r="D1115" s="32"/>
    </row>
    <row r="1116" spans="4:4" x14ac:dyDescent="0.2">
      <c r="D1116" s="32"/>
    </row>
    <row r="1117" spans="4:4" x14ac:dyDescent="0.2">
      <c r="D1117" s="32"/>
    </row>
    <row r="1118" spans="4:4" x14ac:dyDescent="0.2">
      <c r="D1118" s="32"/>
    </row>
    <row r="1119" spans="4:4" x14ac:dyDescent="0.2">
      <c r="D1119" s="32"/>
    </row>
    <row r="1120" spans="4:4" x14ac:dyDescent="0.2">
      <c r="D1120" s="32"/>
    </row>
    <row r="1121" spans="4:4" x14ac:dyDescent="0.2">
      <c r="D1121" s="32"/>
    </row>
    <row r="1122" spans="4:4" x14ac:dyDescent="0.2">
      <c r="D1122" s="32"/>
    </row>
    <row r="1123" spans="4:4" x14ac:dyDescent="0.2">
      <c r="D1123" s="32"/>
    </row>
    <row r="1124" spans="4:4" x14ac:dyDescent="0.2">
      <c r="D1124" s="32"/>
    </row>
    <row r="1125" spans="4:4" x14ac:dyDescent="0.2">
      <c r="D1125" s="32"/>
    </row>
    <row r="1126" spans="4:4" x14ac:dyDescent="0.2">
      <c r="D1126" s="32"/>
    </row>
    <row r="1127" spans="4:4" x14ac:dyDescent="0.2">
      <c r="D1127" s="32"/>
    </row>
    <row r="1128" spans="4:4" x14ac:dyDescent="0.2">
      <c r="D1128" s="32"/>
    </row>
    <row r="1129" spans="4:4" x14ac:dyDescent="0.2">
      <c r="D1129" s="32"/>
    </row>
    <row r="1130" spans="4:4" x14ac:dyDescent="0.2">
      <c r="D1130" s="32"/>
    </row>
    <row r="1131" spans="4:4" x14ac:dyDescent="0.2">
      <c r="D1131" s="32"/>
    </row>
    <row r="1132" spans="4:4" x14ac:dyDescent="0.2">
      <c r="D1132" s="32"/>
    </row>
    <row r="1133" spans="4:4" x14ac:dyDescent="0.2">
      <c r="D1133" s="32"/>
    </row>
    <row r="1134" spans="4:4" x14ac:dyDescent="0.2">
      <c r="D1134" s="32"/>
    </row>
    <row r="1135" spans="4:4" x14ac:dyDescent="0.2">
      <c r="D1135" s="32"/>
    </row>
    <row r="1136" spans="4:4" x14ac:dyDescent="0.2">
      <c r="D1136" s="32"/>
    </row>
    <row r="1137" spans="4:4" x14ac:dyDescent="0.2">
      <c r="D1137" s="32"/>
    </row>
    <row r="1138" spans="4:4" x14ac:dyDescent="0.2">
      <c r="D1138" s="32"/>
    </row>
    <row r="1139" spans="4:4" x14ac:dyDescent="0.2">
      <c r="D1139" s="32"/>
    </row>
    <row r="1140" spans="4:4" x14ac:dyDescent="0.2">
      <c r="D1140" s="32"/>
    </row>
    <row r="1141" spans="4:4" x14ac:dyDescent="0.2">
      <c r="D1141" s="32"/>
    </row>
    <row r="1142" spans="4:4" x14ac:dyDescent="0.2">
      <c r="D1142" s="32"/>
    </row>
    <row r="1143" spans="4:4" x14ac:dyDescent="0.2">
      <c r="D1143" s="32"/>
    </row>
    <row r="1144" spans="4:4" x14ac:dyDescent="0.2">
      <c r="D1144" s="32"/>
    </row>
    <row r="1145" spans="4:4" x14ac:dyDescent="0.2">
      <c r="D1145" s="32"/>
    </row>
    <row r="1146" spans="4:4" x14ac:dyDescent="0.2">
      <c r="D1146" s="32"/>
    </row>
    <row r="1147" spans="4:4" x14ac:dyDescent="0.2">
      <c r="D1147" s="32"/>
    </row>
    <row r="1148" spans="4:4" x14ac:dyDescent="0.2">
      <c r="D1148" s="32"/>
    </row>
    <row r="1149" spans="4:4" x14ac:dyDescent="0.2">
      <c r="D1149" s="32"/>
    </row>
    <row r="1150" spans="4:4" x14ac:dyDescent="0.2">
      <c r="D1150" s="32"/>
    </row>
    <row r="1151" spans="4:4" x14ac:dyDescent="0.2">
      <c r="D1151" s="32"/>
    </row>
    <row r="1152" spans="4:4" x14ac:dyDescent="0.2">
      <c r="D1152" s="32"/>
    </row>
    <row r="1153" spans="4:4" x14ac:dyDescent="0.2">
      <c r="D1153" s="32"/>
    </row>
    <row r="1154" spans="4:4" x14ac:dyDescent="0.2">
      <c r="D1154" s="32"/>
    </row>
    <row r="1155" spans="4:4" x14ac:dyDescent="0.2">
      <c r="D1155" s="32"/>
    </row>
    <row r="1156" spans="4:4" x14ac:dyDescent="0.2">
      <c r="D1156" s="32"/>
    </row>
    <row r="1157" spans="4:4" x14ac:dyDescent="0.2">
      <c r="D1157" s="32"/>
    </row>
    <row r="1158" spans="4:4" x14ac:dyDescent="0.2">
      <c r="D1158" s="32"/>
    </row>
    <row r="1159" spans="4:4" x14ac:dyDescent="0.2">
      <c r="D1159" s="32"/>
    </row>
    <row r="1160" spans="4:4" x14ac:dyDescent="0.2">
      <c r="D1160" s="32"/>
    </row>
    <row r="1161" spans="4:4" x14ac:dyDescent="0.2">
      <c r="D1161" s="32"/>
    </row>
    <row r="1162" spans="4:4" x14ac:dyDescent="0.2">
      <c r="D1162" s="32"/>
    </row>
    <row r="1163" spans="4:4" x14ac:dyDescent="0.2">
      <c r="D1163" s="32"/>
    </row>
    <row r="1164" spans="4:4" x14ac:dyDescent="0.2">
      <c r="D1164" s="32"/>
    </row>
    <row r="1165" spans="4:4" x14ac:dyDescent="0.2">
      <c r="D1165" s="32"/>
    </row>
    <row r="1166" spans="4:4" x14ac:dyDescent="0.2">
      <c r="D1166" s="32"/>
    </row>
    <row r="1167" spans="4:4" x14ac:dyDescent="0.2">
      <c r="D1167" s="32"/>
    </row>
    <row r="1168" spans="4:4" x14ac:dyDescent="0.2">
      <c r="D1168" s="32"/>
    </row>
    <row r="1169" spans="4:4" x14ac:dyDescent="0.2">
      <c r="D1169" s="32"/>
    </row>
    <row r="1170" spans="4:4" x14ac:dyDescent="0.2">
      <c r="D1170" s="32"/>
    </row>
    <row r="1171" spans="4:4" x14ac:dyDescent="0.2">
      <c r="D1171" s="32"/>
    </row>
    <row r="1172" spans="4:4" x14ac:dyDescent="0.2">
      <c r="D1172" s="32"/>
    </row>
    <row r="1173" spans="4:4" x14ac:dyDescent="0.2">
      <c r="D1173" s="32"/>
    </row>
    <row r="1174" spans="4:4" x14ac:dyDescent="0.2">
      <c r="D1174" s="32"/>
    </row>
    <row r="1175" spans="4:4" x14ac:dyDescent="0.2">
      <c r="D1175" s="32"/>
    </row>
    <row r="1176" spans="4:4" x14ac:dyDescent="0.2">
      <c r="D1176" s="32"/>
    </row>
    <row r="1177" spans="4:4" x14ac:dyDescent="0.2">
      <c r="D1177" s="32"/>
    </row>
    <row r="1178" spans="4:4" x14ac:dyDescent="0.2">
      <c r="D1178" s="32"/>
    </row>
    <row r="1179" spans="4:4" x14ac:dyDescent="0.2">
      <c r="D1179" s="32"/>
    </row>
    <row r="1180" spans="4:4" x14ac:dyDescent="0.2">
      <c r="D1180" s="32"/>
    </row>
    <row r="1181" spans="4:4" x14ac:dyDescent="0.2">
      <c r="D1181" s="32"/>
    </row>
    <row r="1182" spans="4:4" x14ac:dyDescent="0.2">
      <c r="D1182" s="32"/>
    </row>
    <row r="1183" spans="4:4" x14ac:dyDescent="0.2">
      <c r="D1183" s="32"/>
    </row>
    <row r="1184" spans="4:4" x14ac:dyDescent="0.2">
      <c r="D1184" s="32"/>
    </row>
    <row r="1185" spans="4:4" x14ac:dyDescent="0.2">
      <c r="D1185" s="32"/>
    </row>
    <row r="1186" spans="4:4" x14ac:dyDescent="0.2">
      <c r="D1186" s="32"/>
    </row>
    <row r="1187" spans="4:4" x14ac:dyDescent="0.2">
      <c r="D1187" s="32"/>
    </row>
    <row r="1188" spans="4:4" x14ac:dyDescent="0.2">
      <c r="D1188" s="32"/>
    </row>
    <row r="1189" spans="4:4" x14ac:dyDescent="0.2">
      <c r="D1189" s="32"/>
    </row>
    <row r="1190" spans="4:4" x14ac:dyDescent="0.2">
      <c r="D1190" s="32"/>
    </row>
    <row r="1191" spans="4:4" x14ac:dyDescent="0.2">
      <c r="D1191" s="32"/>
    </row>
    <row r="1192" spans="4:4" x14ac:dyDescent="0.2">
      <c r="D1192" s="32"/>
    </row>
    <row r="1193" spans="4:4" x14ac:dyDescent="0.2">
      <c r="D1193" s="32"/>
    </row>
    <row r="1194" spans="4:4" x14ac:dyDescent="0.2">
      <c r="D1194" s="32"/>
    </row>
    <row r="1195" spans="4:4" x14ac:dyDescent="0.2">
      <c r="D1195" s="32"/>
    </row>
    <row r="1196" spans="4:4" x14ac:dyDescent="0.2">
      <c r="D1196" s="32"/>
    </row>
    <row r="1197" spans="4:4" x14ac:dyDescent="0.2">
      <c r="D1197" s="32"/>
    </row>
    <row r="1198" spans="4:4" x14ac:dyDescent="0.2">
      <c r="D1198" s="32"/>
    </row>
    <row r="1199" spans="4:4" x14ac:dyDescent="0.2">
      <c r="D1199" s="32"/>
    </row>
    <row r="1200" spans="4:4" x14ac:dyDescent="0.2">
      <c r="D1200" s="32"/>
    </row>
    <row r="1201" spans="4:4" x14ac:dyDescent="0.2">
      <c r="D1201" s="32"/>
    </row>
    <row r="1202" spans="4:4" x14ac:dyDescent="0.2">
      <c r="D1202" s="32"/>
    </row>
    <row r="1203" spans="4:4" x14ac:dyDescent="0.2">
      <c r="D1203" s="32"/>
    </row>
    <row r="1204" spans="4:4" x14ac:dyDescent="0.2">
      <c r="D1204" s="32"/>
    </row>
    <row r="1205" spans="4:4" x14ac:dyDescent="0.2">
      <c r="D1205" s="32"/>
    </row>
    <row r="1206" spans="4:4" x14ac:dyDescent="0.2">
      <c r="D1206" s="32"/>
    </row>
    <row r="1207" spans="4:4" x14ac:dyDescent="0.2">
      <c r="D1207" s="32"/>
    </row>
    <row r="1208" spans="4:4" x14ac:dyDescent="0.2">
      <c r="D1208" s="32"/>
    </row>
    <row r="1209" spans="4:4" x14ac:dyDescent="0.2">
      <c r="D1209" s="32"/>
    </row>
    <row r="1210" spans="4:4" x14ac:dyDescent="0.2">
      <c r="D1210" s="32"/>
    </row>
    <row r="1211" spans="4:4" x14ac:dyDescent="0.2">
      <c r="D1211" s="32"/>
    </row>
    <row r="1212" spans="4:4" x14ac:dyDescent="0.2">
      <c r="D1212" s="32"/>
    </row>
    <row r="1213" spans="4:4" x14ac:dyDescent="0.2">
      <c r="D1213" s="32"/>
    </row>
    <row r="1214" spans="4:4" x14ac:dyDescent="0.2">
      <c r="D1214" s="32"/>
    </row>
    <row r="1215" spans="4:4" x14ac:dyDescent="0.2">
      <c r="D1215" s="32"/>
    </row>
    <row r="1216" spans="4:4" x14ac:dyDescent="0.2">
      <c r="D1216" s="32"/>
    </row>
    <row r="1217" spans="4:4" x14ac:dyDescent="0.2">
      <c r="D1217" s="32"/>
    </row>
    <row r="1218" spans="4:4" x14ac:dyDescent="0.2">
      <c r="D1218" s="32"/>
    </row>
    <row r="1219" spans="4:4" x14ac:dyDescent="0.2">
      <c r="D1219" s="32"/>
    </row>
    <row r="1220" spans="4:4" x14ac:dyDescent="0.2">
      <c r="D1220" s="32"/>
    </row>
    <row r="1221" spans="4:4" x14ac:dyDescent="0.2">
      <c r="D1221" s="32"/>
    </row>
    <row r="1222" spans="4:4" x14ac:dyDescent="0.2">
      <c r="D1222" s="32"/>
    </row>
    <row r="1223" spans="4:4" x14ac:dyDescent="0.2">
      <c r="D1223" s="32"/>
    </row>
    <row r="1224" spans="4:4" x14ac:dyDescent="0.2">
      <c r="D1224" s="32"/>
    </row>
    <row r="1225" spans="4:4" x14ac:dyDescent="0.2">
      <c r="D1225" s="32"/>
    </row>
    <row r="1226" spans="4:4" x14ac:dyDescent="0.2">
      <c r="D1226" s="32"/>
    </row>
    <row r="1227" spans="4:4" x14ac:dyDescent="0.2">
      <c r="D1227" s="32"/>
    </row>
    <row r="1228" spans="4:4" x14ac:dyDescent="0.2">
      <c r="D1228" s="32"/>
    </row>
    <row r="1229" spans="4:4" x14ac:dyDescent="0.2">
      <c r="D1229" s="32"/>
    </row>
    <row r="1230" spans="4:4" x14ac:dyDescent="0.2">
      <c r="D1230" s="32"/>
    </row>
    <row r="1231" spans="4:4" x14ac:dyDescent="0.2">
      <c r="D1231" s="32"/>
    </row>
    <row r="1232" spans="4:4" x14ac:dyDescent="0.2">
      <c r="D1232" s="32"/>
    </row>
    <row r="1233" spans="4:4" x14ac:dyDescent="0.2">
      <c r="D1233" s="32"/>
    </row>
    <row r="1234" spans="4:4" x14ac:dyDescent="0.2">
      <c r="D1234" s="32"/>
    </row>
    <row r="1235" spans="4:4" x14ac:dyDescent="0.2">
      <c r="D1235" s="32"/>
    </row>
    <row r="1236" spans="4:4" x14ac:dyDescent="0.2">
      <c r="D1236" s="32"/>
    </row>
    <row r="1237" spans="4:4" x14ac:dyDescent="0.2">
      <c r="D1237" s="32"/>
    </row>
    <row r="1238" spans="4:4" x14ac:dyDescent="0.2">
      <c r="D1238" s="32"/>
    </row>
    <row r="1239" spans="4:4" x14ac:dyDescent="0.2">
      <c r="D1239" s="32"/>
    </row>
    <row r="1240" spans="4:4" x14ac:dyDescent="0.2">
      <c r="D1240" s="32"/>
    </row>
    <row r="1241" spans="4:4" x14ac:dyDescent="0.2">
      <c r="D1241" s="32"/>
    </row>
    <row r="1242" spans="4:4" x14ac:dyDescent="0.2">
      <c r="D1242" s="32"/>
    </row>
    <row r="1243" spans="4:4" x14ac:dyDescent="0.2">
      <c r="D1243" s="32"/>
    </row>
    <row r="1244" spans="4:4" x14ac:dyDescent="0.2">
      <c r="D1244" s="32"/>
    </row>
    <row r="1245" spans="4:4" x14ac:dyDescent="0.2">
      <c r="D1245" s="32"/>
    </row>
    <row r="1246" spans="4:4" x14ac:dyDescent="0.2">
      <c r="D1246" s="32"/>
    </row>
    <row r="1247" spans="4:4" x14ac:dyDescent="0.2">
      <c r="D1247" s="32"/>
    </row>
    <row r="1248" spans="4:4" x14ac:dyDescent="0.2">
      <c r="D1248" s="32"/>
    </row>
    <row r="1249" spans="4:4" x14ac:dyDescent="0.2">
      <c r="D1249" s="32"/>
    </row>
    <row r="1250" spans="4:4" x14ac:dyDescent="0.2">
      <c r="D1250" s="32"/>
    </row>
    <row r="1251" spans="4:4" x14ac:dyDescent="0.2">
      <c r="D1251" s="32"/>
    </row>
    <row r="1252" spans="4:4" x14ac:dyDescent="0.2">
      <c r="D1252" s="32"/>
    </row>
    <row r="1253" spans="4:4" x14ac:dyDescent="0.2">
      <c r="D1253" s="32"/>
    </row>
    <row r="1254" spans="4:4" x14ac:dyDescent="0.2">
      <c r="D1254" s="32"/>
    </row>
    <row r="1255" spans="4:4" x14ac:dyDescent="0.2">
      <c r="D1255" s="32"/>
    </row>
    <row r="1256" spans="4:4" x14ac:dyDescent="0.2">
      <c r="D1256" s="32"/>
    </row>
    <row r="1257" spans="4:4" x14ac:dyDescent="0.2">
      <c r="D1257" s="32"/>
    </row>
    <row r="1258" spans="4:4" x14ac:dyDescent="0.2">
      <c r="D1258" s="32"/>
    </row>
    <row r="1259" spans="4:4" x14ac:dyDescent="0.2">
      <c r="D1259" s="32"/>
    </row>
    <row r="1260" spans="4:4" x14ac:dyDescent="0.2">
      <c r="D1260" s="32"/>
    </row>
    <row r="1261" spans="4:4" x14ac:dyDescent="0.2">
      <c r="D1261" s="32"/>
    </row>
    <row r="1262" spans="4:4" x14ac:dyDescent="0.2">
      <c r="D1262" s="32"/>
    </row>
    <row r="1263" spans="4:4" x14ac:dyDescent="0.2">
      <c r="D1263" s="32"/>
    </row>
    <row r="1264" spans="4:4" x14ac:dyDescent="0.2">
      <c r="D1264" s="32"/>
    </row>
    <row r="1265" spans="4:4" x14ac:dyDescent="0.2">
      <c r="D1265" s="32"/>
    </row>
    <row r="1266" spans="4:4" x14ac:dyDescent="0.2">
      <c r="D1266" s="32"/>
    </row>
    <row r="1267" spans="4:4" x14ac:dyDescent="0.2">
      <c r="D1267" s="32"/>
    </row>
    <row r="1268" spans="4:4" x14ac:dyDescent="0.2">
      <c r="D1268" s="32"/>
    </row>
    <row r="1269" spans="4:4" x14ac:dyDescent="0.2">
      <c r="D1269" s="32"/>
    </row>
    <row r="1270" spans="4:4" x14ac:dyDescent="0.2">
      <c r="D1270" s="32"/>
    </row>
    <row r="1271" spans="4:4" x14ac:dyDescent="0.2">
      <c r="D1271" s="32"/>
    </row>
    <row r="1272" spans="4:4" x14ac:dyDescent="0.2">
      <c r="D1272" s="32"/>
    </row>
    <row r="1273" spans="4:4" x14ac:dyDescent="0.2">
      <c r="D1273" s="32"/>
    </row>
    <row r="1274" spans="4:4" x14ac:dyDescent="0.2">
      <c r="D1274" s="32"/>
    </row>
    <row r="1275" spans="4:4" x14ac:dyDescent="0.2">
      <c r="D1275" s="32"/>
    </row>
    <row r="1276" spans="4:4" x14ac:dyDescent="0.2">
      <c r="D1276" s="32"/>
    </row>
    <row r="1277" spans="4:4" x14ac:dyDescent="0.2">
      <c r="D1277" s="32"/>
    </row>
    <row r="1278" spans="4:4" x14ac:dyDescent="0.2">
      <c r="D1278" s="32"/>
    </row>
    <row r="1279" spans="4:4" x14ac:dyDescent="0.2">
      <c r="D1279" s="32"/>
    </row>
    <row r="1280" spans="4:4" x14ac:dyDescent="0.2">
      <c r="D1280" s="32"/>
    </row>
    <row r="1281" spans="4:4" x14ac:dyDescent="0.2">
      <c r="D1281" s="32"/>
    </row>
    <row r="1282" spans="4:4" x14ac:dyDescent="0.2">
      <c r="D1282" s="32"/>
    </row>
    <row r="1283" spans="4:4" x14ac:dyDescent="0.2">
      <c r="D1283" s="32"/>
    </row>
    <row r="1284" spans="4:4" x14ac:dyDescent="0.2">
      <c r="D1284" s="32"/>
    </row>
    <row r="1285" spans="4:4" x14ac:dyDescent="0.2">
      <c r="D1285" s="32"/>
    </row>
    <row r="1286" spans="4:4" x14ac:dyDescent="0.2">
      <c r="D1286" s="32"/>
    </row>
    <row r="1287" spans="4:4" x14ac:dyDescent="0.2">
      <c r="D1287" s="32"/>
    </row>
    <row r="1288" spans="4:4" x14ac:dyDescent="0.2">
      <c r="D1288" s="32"/>
    </row>
    <row r="1289" spans="4:4" x14ac:dyDescent="0.2">
      <c r="D1289" s="32"/>
    </row>
    <row r="1290" spans="4:4" x14ac:dyDescent="0.2">
      <c r="D1290" s="32"/>
    </row>
    <row r="1291" spans="4:4" x14ac:dyDescent="0.2">
      <c r="D1291" s="32"/>
    </row>
    <row r="1292" spans="4:4" x14ac:dyDescent="0.2">
      <c r="D1292" s="32"/>
    </row>
    <row r="1293" spans="4:4" x14ac:dyDescent="0.2">
      <c r="D1293" s="32"/>
    </row>
    <row r="1294" spans="4:4" x14ac:dyDescent="0.2">
      <c r="D1294" s="32"/>
    </row>
    <row r="1295" spans="4:4" x14ac:dyDescent="0.2">
      <c r="D1295" s="32"/>
    </row>
    <row r="1296" spans="4:4" x14ac:dyDescent="0.2">
      <c r="D1296" s="32"/>
    </row>
    <row r="1297" spans="4:4" x14ac:dyDescent="0.2">
      <c r="D1297" s="32"/>
    </row>
    <row r="1298" spans="4:4" x14ac:dyDescent="0.2">
      <c r="D1298" s="32"/>
    </row>
    <row r="1299" spans="4:4" x14ac:dyDescent="0.2">
      <c r="D1299" s="32"/>
    </row>
    <row r="1300" spans="4:4" x14ac:dyDescent="0.2">
      <c r="D1300" s="32"/>
    </row>
    <row r="1301" spans="4:4" x14ac:dyDescent="0.2">
      <c r="D1301" s="32"/>
    </row>
    <row r="1302" spans="4:4" x14ac:dyDescent="0.2">
      <c r="D1302" s="32"/>
    </row>
    <row r="1303" spans="4:4" x14ac:dyDescent="0.2">
      <c r="D1303" s="32"/>
    </row>
    <row r="1304" spans="4:4" x14ac:dyDescent="0.2">
      <c r="D1304" s="32"/>
    </row>
    <row r="1305" spans="4:4" x14ac:dyDescent="0.2">
      <c r="D1305" s="32"/>
    </row>
    <row r="1306" spans="4:4" x14ac:dyDescent="0.2">
      <c r="D1306" s="32"/>
    </row>
    <row r="1307" spans="4:4" x14ac:dyDescent="0.2">
      <c r="D1307" s="32"/>
    </row>
    <row r="1308" spans="4:4" x14ac:dyDescent="0.2">
      <c r="D1308" s="32"/>
    </row>
    <row r="1309" spans="4:4" x14ac:dyDescent="0.2">
      <c r="D1309" s="32"/>
    </row>
    <row r="1310" spans="4:4" x14ac:dyDescent="0.2">
      <c r="D1310" s="32"/>
    </row>
    <row r="1311" spans="4:4" x14ac:dyDescent="0.2">
      <c r="D1311" s="32"/>
    </row>
    <row r="1312" spans="4:4" x14ac:dyDescent="0.2">
      <c r="D1312" s="32"/>
    </row>
    <row r="1313" spans="4:4" x14ac:dyDescent="0.2">
      <c r="D1313" s="32"/>
    </row>
    <row r="1314" spans="4:4" x14ac:dyDescent="0.2">
      <c r="D1314" s="32"/>
    </row>
    <row r="1315" spans="4:4" x14ac:dyDescent="0.2">
      <c r="D1315" s="32"/>
    </row>
    <row r="1316" spans="4:4" x14ac:dyDescent="0.2">
      <c r="D1316" s="32"/>
    </row>
    <row r="1317" spans="4:4" x14ac:dyDescent="0.2">
      <c r="D1317" s="32"/>
    </row>
    <row r="1318" spans="4:4" x14ac:dyDescent="0.2">
      <c r="D1318" s="32"/>
    </row>
    <row r="1319" spans="4:4" x14ac:dyDescent="0.2">
      <c r="D1319" s="32"/>
    </row>
    <row r="1320" spans="4:4" x14ac:dyDescent="0.2">
      <c r="D1320" s="32"/>
    </row>
    <row r="1321" spans="4:4" x14ac:dyDescent="0.2">
      <c r="D1321" s="32"/>
    </row>
    <row r="1322" spans="4:4" x14ac:dyDescent="0.2">
      <c r="D1322" s="32"/>
    </row>
    <row r="1323" spans="4:4" x14ac:dyDescent="0.2">
      <c r="D1323" s="32"/>
    </row>
    <row r="1324" spans="4:4" x14ac:dyDescent="0.2">
      <c r="D1324" s="32"/>
    </row>
    <row r="1325" spans="4:4" x14ac:dyDescent="0.2">
      <c r="D1325" s="32"/>
    </row>
    <row r="1326" spans="4:4" x14ac:dyDescent="0.2">
      <c r="D1326" s="32"/>
    </row>
    <row r="1327" spans="4:4" x14ac:dyDescent="0.2">
      <c r="D1327" s="32"/>
    </row>
    <row r="1328" spans="4:4" x14ac:dyDescent="0.2">
      <c r="D1328" s="32"/>
    </row>
    <row r="1329" spans="4:4" x14ac:dyDescent="0.2">
      <c r="D1329" s="32"/>
    </row>
    <row r="1330" spans="4:4" x14ac:dyDescent="0.2">
      <c r="D1330" s="32"/>
    </row>
    <row r="1331" spans="4:4" x14ac:dyDescent="0.2">
      <c r="D1331" s="32"/>
    </row>
    <row r="1332" spans="4:4" x14ac:dyDescent="0.2">
      <c r="D1332" s="32"/>
    </row>
    <row r="1333" spans="4:4" x14ac:dyDescent="0.2">
      <c r="D1333" s="32"/>
    </row>
    <row r="1334" spans="4:4" x14ac:dyDescent="0.2">
      <c r="D1334" s="32"/>
    </row>
    <row r="1335" spans="4:4" x14ac:dyDescent="0.2">
      <c r="D1335" s="32"/>
    </row>
    <row r="1336" spans="4:4" x14ac:dyDescent="0.2">
      <c r="D1336" s="32"/>
    </row>
    <row r="1337" spans="4:4" x14ac:dyDescent="0.2">
      <c r="D1337" s="32"/>
    </row>
    <row r="1338" spans="4:4" x14ac:dyDescent="0.2">
      <c r="D1338" s="32"/>
    </row>
    <row r="1339" spans="4:4" x14ac:dyDescent="0.2">
      <c r="D1339" s="32"/>
    </row>
    <row r="1340" spans="4:4" x14ac:dyDescent="0.2">
      <c r="D1340" s="32"/>
    </row>
    <row r="1341" spans="4:4" x14ac:dyDescent="0.2">
      <c r="D1341" s="32"/>
    </row>
    <row r="1342" spans="4:4" x14ac:dyDescent="0.2">
      <c r="D1342" s="32"/>
    </row>
    <row r="1343" spans="4:4" x14ac:dyDescent="0.2">
      <c r="D1343" s="32"/>
    </row>
    <row r="1344" spans="4:4" x14ac:dyDescent="0.2">
      <c r="D1344" s="32"/>
    </row>
    <row r="1345" spans="4:4" x14ac:dyDescent="0.2">
      <c r="D1345" s="32"/>
    </row>
    <row r="1346" spans="4:4" x14ac:dyDescent="0.2">
      <c r="D1346" s="32"/>
    </row>
    <row r="1347" spans="4:4" x14ac:dyDescent="0.2">
      <c r="D1347" s="32"/>
    </row>
    <row r="1348" spans="4:4" x14ac:dyDescent="0.2">
      <c r="D1348" s="32"/>
    </row>
    <row r="1349" spans="4:4" x14ac:dyDescent="0.2">
      <c r="D1349" s="32"/>
    </row>
    <row r="1350" spans="4:4" x14ac:dyDescent="0.2">
      <c r="D1350" s="32"/>
    </row>
    <row r="1351" spans="4:4" x14ac:dyDescent="0.2">
      <c r="D1351" s="32"/>
    </row>
    <row r="1352" spans="4:4" x14ac:dyDescent="0.2">
      <c r="D1352" s="32"/>
    </row>
    <row r="1353" spans="4:4" x14ac:dyDescent="0.2">
      <c r="D1353" s="32"/>
    </row>
    <row r="1354" spans="4:4" x14ac:dyDescent="0.2">
      <c r="D1354" s="32"/>
    </row>
    <row r="1355" spans="4:4" x14ac:dyDescent="0.2">
      <c r="D1355" s="32"/>
    </row>
    <row r="1356" spans="4:4" x14ac:dyDescent="0.2">
      <c r="D1356" s="32"/>
    </row>
    <row r="1357" spans="4:4" x14ac:dyDescent="0.2">
      <c r="D1357" s="32"/>
    </row>
    <row r="1358" spans="4:4" x14ac:dyDescent="0.2">
      <c r="D1358" s="32"/>
    </row>
    <row r="1359" spans="4:4" x14ac:dyDescent="0.2">
      <c r="D1359" s="32"/>
    </row>
    <row r="1360" spans="4:4" x14ac:dyDescent="0.2">
      <c r="D1360" s="32"/>
    </row>
    <row r="1361" spans="4:4" x14ac:dyDescent="0.2">
      <c r="D1361" s="32"/>
    </row>
    <row r="1362" spans="4:4" x14ac:dyDescent="0.2">
      <c r="D1362" s="32"/>
    </row>
    <row r="1363" spans="4:4" x14ac:dyDescent="0.2">
      <c r="D1363" s="32"/>
    </row>
    <row r="1364" spans="4:4" x14ac:dyDescent="0.2">
      <c r="D1364" s="32"/>
    </row>
    <row r="1365" spans="4:4" x14ac:dyDescent="0.2">
      <c r="D1365" s="32"/>
    </row>
    <row r="1366" spans="4:4" x14ac:dyDescent="0.2">
      <c r="D1366" s="32"/>
    </row>
    <row r="1367" spans="4:4" x14ac:dyDescent="0.2">
      <c r="D1367" s="32"/>
    </row>
    <row r="1368" spans="4:4" x14ac:dyDescent="0.2">
      <c r="D1368" s="32"/>
    </row>
    <row r="1369" spans="4:4" x14ac:dyDescent="0.2">
      <c r="D1369" s="32"/>
    </row>
    <row r="1370" spans="4:4" x14ac:dyDescent="0.2">
      <c r="D1370" s="32"/>
    </row>
    <row r="1371" spans="4:4" x14ac:dyDescent="0.2">
      <c r="D1371" s="32"/>
    </row>
    <row r="1372" spans="4:4" x14ac:dyDescent="0.2">
      <c r="D1372" s="32"/>
    </row>
    <row r="1373" spans="4:4" x14ac:dyDescent="0.2">
      <c r="D1373" s="32"/>
    </row>
    <row r="1374" spans="4:4" x14ac:dyDescent="0.2">
      <c r="D1374" s="32"/>
    </row>
    <row r="1375" spans="4:4" x14ac:dyDescent="0.2">
      <c r="D1375" s="32"/>
    </row>
    <row r="1376" spans="4:4" x14ac:dyDescent="0.2">
      <c r="D1376" s="32"/>
    </row>
    <row r="1377" spans="4:4" x14ac:dyDescent="0.2">
      <c r="D1377" s="32"/>
    </row>
    <row r="1378" spans="4:4" x14ac:dyDescent="0.2">
      <c r="D1378" s="32"/>
    </row>
    <row r="1379" spans="4:4" x14ac:dyDescent="0.2">
      <c r="D1379" s="32"/>
    </row>
    <row r="1380" spans="4:4" x14ac:dyDescent="0.2">
      <c r="D1380" s="32"/>
    </row>
    <row r="1381" spans="4:4" x14ac:dyDescent="0.2">
      <c r="D1381" s="32"/>
    </row>
    <row r="1382" spans="4:4" x14ac:dyDescent="0.2">
      <c r="D1382" s="32"/>
    </row>
    <row r="1383" spans="4:4" x14ac:dyDescent="0.2">
      <c r="D1383" s="32"/>
    </row>
    <row r="1384" spans="4:4" x14ac:dyDescent="0.2">
      <c r="D1384" s="32"/>
    </row>
    <row r="1385" spans="4:4" x14ac:dyDescent="0.2">
      <c r="D1385" s="32"/>
    </row>
    <row r="1386" spans="4:4" x14ac:dyDescent="0.2">
      <c r="D1386" s="32"/>
    </row>
    <row r="1387" spans="4:4" x14ac:dyDescent="0.2">
      <c r="D1387" s="32"/>
    </row>
    <row r="1388" spans="4:4" x14ac:dyDescent="0.2">
      <c r="D1388" s="32"/>
    </row>
    <row r="1389" spans="4:4" x14ac:dyDescent="0.2">
      <c r="D1389" s="32"/>
    </row>
    <row r="1390" spans="4:4" x14ac:dyDescent="0.2">
      <c r="D1390" s="32"/>
    </row>
    <row r="1391" spans="4:4" x14ac:dyDescent="0.2">
      <c r="D1391" s="32"/>
    </row>
    <row r="1392" spans="4:4" x14ac:dyDescent="0.2">
      <c r="D1392" s="32"/>
    </row>
    <row r="1393" spans="4:4" x14ac:dyDescent="0.2">
      <c r="D1393" s="32"/>
    </row>
    <row r="1394" spans="4:4" x14ac:dyDescent="0.2">
      <c r="D1394" s="32"/>
    </row>
    <row r="1395" spans="4:4" x14ac:dyDescent="0.2">
      <c r="D1395" s="32"/>
    </row>
    <row r="1396" spans="4:4" x14ac:dyDescent="0.2">
      <c r="D1396" s="32"/>
    </row>
    <row r="1397" spans="4:4" x14ac:dyDescent="0.2">
      <c r="D1397" s="32"/>
    </row>
    <row r="1398" spans="4:4" x14ac:dyDescent="0.2">
      <c r="D1398" s="32"/>
    </row>
    <row r="1399" spans="4:4" x14ac:dyDescent="0.2">
      <c r="D1399" s="32"/>
    </row>
    <row r="1400" spans="4:4" x14ac:dyDescent="0.2">
      <c r="D1400" s="32"/>
    </row>
    <row r="1401" spans="4:4" x14ac:dyDescent="0.2">
      <c r="D1401" s="32"/>
    </row>
    <row r="1402" spans="4:4" x14ac:dyDescent="0.2">
      <c r="D1402" s="32"/>
    </row>
    <row r="1403" spans="4:4" x14ac:dyDescent="0.2">
      <c r="D1403" s="32"/>
    </row>
    <row r="1404" spans="4:4" x14ac:dyDescent="0.2">
      <c r="D1404" s="32"/>
    </row>
    <row r="1405" spans="4:4" x14ac:dyDescent="0.2">
      <c r="D1405" s="32"/>
    </row>
    <row r="1406" spans="4:4" x14ac:dyDescent="0.2">
      <c r="D1406" s="32"/>
    </row>
    <row r="1407" spans="4:4" x14ac:dyDescent="0.2">
      <c r="D1407" s="32"/>
    </row>
    <row r="1408" spans="4:4" x14ac:dyDescent="0.2">
      <c r="D1408" s="32"/>
    </row>
    <row r="1409" spans="4:4" x14ac:dyDescent="0.2">
      <c r="D1409" s="32"/>
    </row>
    <row r="1410" spans="4:4" x14ac:dyDescent="0.2">
      <c r="D1410" s="32"/>
    </row>
    <row r="1411" spans="4:4" x14ac:dyDescent="0.2">
      <c r="D1411" s="32"/>
    </row>
    <row r="1412" spans="4:4" x14ac:dyDescent="0.2">
      <c r="D1412" s="32"/>
    </row>
    <row r="1413" spans="4:4" x14ac:dyDescent="0.2">
      <c r="D1413" s="32"/>
    </row>
    <row r="1414" spans="4:4" x14ac:dyDescent="0.2">
      <c r="D1414" s="32"/>
    </row>
    <row r="1415" spans="4:4" x14ac:dyDescent="0.2">
      <c r="D1415" s="32"/>
    </row>
    <row r="1416" spans="4:4" x14ac:dyDescent="0.2">
      <c r="D1416" s="32"/>
    </row>
    <row r="1417" spans="4:4" x14ac:dyDescent="0.2">
      <c r="D1417" s="32"/>
    </row>
    <row r="1418" spans="4:4" x14ac:dyDescent="0.2">
      <c r="D1418" s="32"/>
    </row>
    <row r="1419" spans="4:4" x14ac:dyDescent="0.2">
      <c r="D1419" s="32"/>
    </row>
    <row r="1420" spans="4:4" x14ac:dyDescent="0.2">
      <c r="D1420" s="32"/>
    </row>
    <row r="1421" spans="4:4" x14ac:dyDescent="0.2">
      <c r="D1421" s="32"/>
    </row>
    <row r="1422" spans="4:4" x14ac:dyDescent="0.2">
      <c r="D1422" s="32"/>
    </row>
    <row r="1423" spans="4:4" x14ac:dyDescent="0.2">
      <c r="D1423" s="32"/>
    </row>
    <row r="1424" spans="4:4" x14ac:dyDescent="0.2">
      <c r="D1424" s="32"/>
    </row>
    <row r="1425" spans="4:4" x14ac:dyDescent="0.2">
      <c r="D1425" s="32"/>
    </row>
    <row r="1426" spans="4:4" x14ac:dyDescent="0.2">
      <c r="D1426" s="32"/>
    </row>
    <row r="1427" spans="4:4" x14ac:dyDescent="0.2">
      <c r="D1427" s="32"/>
    </row>
    <row r="1428" spans="4:4" x14ac:dyDescent="0.2">
      <c r="D1428" s="32"/>
    </row>
    <row r="1429" spans="4:4" x14ac:dyDescent="0.2">
      <c r="D1429" s="32"/>
    </row>
    <row r="1430" spans="4:4" x14ac:dyDescent="0.2">
      <c r="D1430" s="32"/>
    </row>
    <row r="1431" spans="4:4" x14ac:dyDescent="0.2">
      <c r="D1431" s="32"/>
    </row>
    <row r="1432" spans="4:4" x14ac:dyDescent="0.2">
      <c r="D1432" s="32"/>
    </row>
    <row r="1433" spans="4:4" x14ac:dyDescent="0.2">
      <c r="D1433" s="32"/>
    </row>
    <row r="1434" spans="4:4" x14ac:dyDescent="0.2">
      <c r="D1434" s="32"/>
    </row>
    <row r="1435" spans="4:4" x14ac:dyDescent="0.2">
      <c r="D1435" s="32"/>
    </row>
    <row r="1436" spans="4:4" x14ac:dyDescent="0.2">
      <c r="D1436" s="32"/>
    </row>
    <row r="1437" spans="4:4" x14ac:dyDescent="0.2">
      <c r="D1437" s="32"/>
    </row>
    <row r="1438" spans="4:4" x14ac:dyDescent="0.2">
      <c r="D1438" s="32"/>
    </row>
    <row r="1439" spans="4:4" x14ac:dyDescent="0.2">
      <c r="D1439" s="32"/>
    </row>
    <row r="1440" spans="4:4" x14ac:dyDescent="0.2">
      <c r="D1440" s="32"/>
    </row>
    <row r="1441" spans="4:4" x14ac:dyDescent="0.2">
      <c r="D1441" s="32"/>
    </row>
    <row r="1442" spans="4:4" x14ac:dyDescent="0.2">
      <c r="D1442" s="32"/>
    </row>
    <row r="1443" spans="4:4" x14ac:dyDescent="0.2">
      <c r="D1443" s="32"/>
    </row>
    <row r="1444" spans="4:4" x14ac:dyDescent="0.2">
      <c r="D1444" s="32"/>
    </row>
    <row r="1445" spans="4:4" x14ac:dyDescent="0.2">
      <c r="D1445" s="32"/>
    </row>
    <row r="1446" spans="4:4" x14ac:dyDescent="0.2">
      <c r="D1446" s="32"/>
    </row>
    <row r="1447" spans="4:4" x14ac:dyDescent="0.2">
      <c r="D1447" s="32"/>
    </row>
    <row r="1448" spans="4:4" x14ac:dyDescent="0.2">
      <c r="D1448" s="32"/>
    </row>
    <row r="1449" spans="4:4" x14ac:dyDescent="0.2">
      <c r="D1449" s="32"/>
    </row>
    <row r="1450" spans="4:4" x14ac:dyDescent="0.2">
      <c r="D1450" s="32"/>
    </row>
    <row r="1451" spans="4:4" x14ac:dyDescent="0.2">
      <c r="D1451" s="32"/>
    </row>
    <row r="1452" spans="4:4" x14ac:dyDescent="0.2">
      <c r="D1452" s="32"/>
    </row>
    <row r="1453" spans="4:4" x14ac:dyDescent="0.2">
      <c r="D1453" s="32"/>
    </row>
    <row r="1454" spans="4:4" x14ac:dyDescent="0.2">
      <c r="D1454" s="32"/>
    </row>
    <row r="1455" spans="4:4" x14ac:dyDescent="0.2">
      <c r="D1455" s="32"/>
    </row>
    <row r="1456" spans="4:4" x14ac:dyDescent="0.2">
      <c r="D1456" s="32"/>
    </row>
    <row r="1457" spans="4:4" x14ac:dyDescent="0.2">
      <c r="D1457" s="32"/>
    </row>
    <row r="1458" spans="4:4" x14ac:dyDescent="0.2">
      <c r="D1458" s="32"/>
    </row>
    <row r="1459" spans="4:4" x14ac:dyDescent="0.2">
      <c r="D1459" s="32"/>
    </row>
    <row r="1460" spans="4:4" x14ac:dyDescent="0.2">
      <c r="D1460" s="32"/>
    </row>
    <row r="1461" spans="4:4" x14ac:dyDescent="0.2">
      <c r="D1461" s="32"/>
    </row>
    <row r="1462" spans="4:4" x14ac:dyDescent="0.2">
      <c r="D1462" s="32"/>
    </row>
    <row r="1463" spans="4:4" x14ac:dyDescent="0.2">
      <c r="D1463" s="32"/>
    </row>
    <row r="1464" spans="4:4" x14ac:dyDescent="0.2">
      <c r="D1464" s="32"/>
    </row>
    <row r="1465" spans="4:4" x14ac:dyDescent="0.2">
      <c r="D1465" s="32"/>
    </row>
    <row r="1466" spans="4:4" x14ac:dyDescent="0.2">
      <c r="D1466" s="32"/>
    </row>
    <row r="1467" spans="4:4" x14ac:dyDescent="0.2">
      <c r="D1467" s="32"/>
    </row>
    <row r="1468" spans="4:4" x14ac:dyDescent="0.2">
      <c r="D1468" s="32"/>
    </row>
    <row r="1469" spans="4:4" x14ac:dyDescent="0.2">
      <c r="D1469" s="32"/>
    </row>
    <row r="1470" spans="4:4" x14ac:dyDescent="0.2">
      <c r="D1470" s="32"/>
    </row>
    <row r="1471" spans="4:4" x14ac:dyDescent="0.2">
      <c r="D1471" s="32"/>
    </row>
    <row r="1472" spans="4:4" x14ac:dyDescent="0.2">
      <c r="D1472" s="32"/>
    </row>
    <row r="1473" spans="4:4" x14ac:dyDescent="0.2">
      <c r="D1473" s="32"/>
    </row>
    <row r="1474" spans="4:4" x14ac:dyDescent="0.2">
      <c r="D1474" s="32"/>
    </row>
    <row r="1475" spans="4:4" x14ac:dyDescent="0.2">
      <c r="D1475" s="32"/>
    </row>
    <row r="1476" spans="4:4" x14ac:dyDescent="0.2">
      <c r="D1476" s="32"/>
    </row>
    <row r="1477" spans="4:4" x14ac:dyDescent="0.2">
      <c r="D1477" s="32"/>
    </row>
    <row r="1478" spans="4:4" x14ac:dyDescent="0.2">
      <c r="D1478" s="32"/>
    </row>
    <row r="1479" spans="4:4" x14ac:dyDescent="0.2">
      <c r="D1479" s="32"/>
    </row>
    <row r="1480" spans="4:4" x14ac:dyDescent="0.2">
      <c r="D1480" s="32"/>
    </row>
    <row r="1481" spans="4:4" x14ac:dyDescent="0.2">
      <c r="D1481" s="32"/>
    </row>
    <row r="1482" spans="4:4" x14ac:dyDescent="0.2">
      <c r="D1482" s="32"/>
    </row>
    <row r="1483" spans="4:4" x14ac:dyDescent="0.2">
      <c r="D1483" s="32"/>
    </row>
    <row r="1484" spans="4:4" x14ac:dyDescent="0.2">
      <c r="D1484" s="32"/>
    </row>
    <row r="1485" spans="4:4" x14ac:dyDescent="0.2">
      <c r="D1485" s="32"/>
    </row>
    <row r="1486" spans="4:4" x14ac:dyDescent="0.2">
      <c r="D1486" s="32"/>
    </row>
    <row r="1487" spans="4:4" x14ac:dyDescent="0.2">
      <c r="D1487" s="32"/>
    </row>
    <row r="1488" spans="4:4" x14ac:dyDescent="0.2">
      <c r="D1488" s="32"/>
    </row>
    <row r="1489" spans="4:4" x14ac:dyDescent="0.2">
      <c r="D1489" s="32"/>
    </row>
    <row r="1490" spans="4:4" x14ac:dyDescent="0.2">
      <c r="D1490" s="32"/>
    </row>
    <row r="1491" spans="4:4" x14ac:dyDescent="0.2">
      <c r="D1491" s="32"/>
    </row>
    <row r="1492" spans="4:4" x14ac:dyDescent="0.2">
      <c r="D1492" s="32"/>
    </row>
    <row r="1493" spans="4:4" x14ac:dyDescent="0.2">
      <c r="D1493" s="32"/>
    </row>
    <row r="1494" spans="4:4" x14ac:dyDescent="0.2">
      <c r="D1494" s="32"/>
    </row>
    <row r="1495" spans="4:4" x14ac:dyDescent="0.2">
      <c r="D1495" s="32"/>
    </row>
    <row r="1496" spans="4:4" x14ac:dyDescent="0.2">
      <c r="D1496" s="32"/>
    </row>
    <row r="1497" spans="4:4" x14ac:dyDescent="0.2">
      <c r="D1497" s="32"/>
    </row>
    <row r="1498" spans="4:4" x14ac:dyDescent="0.2">
      <c r="D1498" s="32"/>
    </row>
    <row r="1499" spans="4:4" x14ac:dyDescent="0.2">
      <c r="D1499" s="32"/>
    </row>
    <row r="1500" spans="4:4" x14ac:dyDescent="0.2">
      <c r="D1500" s="32"/>
    </row>
    <row r="1501" spans="4:4" x14ac:dyDescent="0.2">
      <c r="D1501" s="32"/>
    </row>
    <row r="1502" spans="4:4" x14ac:dyDescent="0.2">
      <c r="D1502" s="32"/>
    </row>
    <row r="1503" spans="4:4" x14ac:dyDescent="0.2">
      <c r="D1503" s="32"/>
    </row>
    <row r="1504" spans="4:4" x14ac:dyDescent="0.2">
      <c r="D1504" s="32"/>
    </row>
    <row r="1505" spans="4:4" x14ac:dyDescent="0.2">
      <c r="D1505" s="32"/>
    </row>
    <row r="1506" spans="4:4" x14ac:dyDescent="0.2">
      <c r="D1506" s="32"/>
    </row>
    <row r="1507" spans="4:4" x14ac:dyDescent="0.2">
      <c r="D1507" s="32"/>
    </row>
    <row r="1508" spans="4:4" x14ac:dyDescent="0.2">
      <c r="D1508" s="32"/>
    </row>
    <row r="1509" spans="4:4" x14ac:dyDescent="0.2">
      <c r="D1509" s="32"/>
    </row>
    <row r="1510" spans="4:4" x14ac:dyDescent="0.2">
      <c r="D1510" s="32"/>
    </row>
    <row r="1511" spans="4:4" x14ac:dyDescent="0.2">
      <c r="D1511" s="32"/>
    </row>
    <row r="1512" spans="4:4" x14ac:dyDescent="0.2">
      <c r="D1512" s="3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6F89E-CAA0-C64A-AA04-5A71AD87DBB8}">
  <dimension ref="A1:N400"/>
  <sheetViews>
    <sheetView workbookViewId="0">
      <selection activeCell="F10" sqref="F10:G10"/>
    </sheetView>
  </sheetViews>
  <sheetFormatPr baseColWidth="10" defaultColWidth="14.6640625" defaultRowHeight="16" x14ac:dyDescent="0.2"/>
  <cols>
    <col min="1" max="1" width="8.5" bestFit="1" customWidth="1"/>
    <col min="2" max="2" width="11.5" style="62" bestFit="1" customWidth="1"/>
    <col min="3" max="3" width="14.1640625" style="62" bestFit="1" customWidth="1"/>
    <col min="4" max="4" width="14.6640625" style="62"/>
    <col min="5" max="6" width="16.33203125" bestFit="1" customWidth="1"/>
    <col min="7" max="7" width="13.33203125" bestFit="1" customWidth="1"/>
    <col min="8" max="9" width="12.1640625" bestFit="1" customWidth="1"/>
    <col min="10" max="11" width="13" bestFit="1" customWidth="1"/>
    <col min="12" max="12" width="12.83203125" bestFit="1" customWidth="1"/>
    <col min="13" max="13" width="12.1640625" bestFit="1" customWidth="1"/>
  </cols>
  <sheetData>
    <row r="1" spans="1:14" x14ac:dyDescent="0.2">
      <c r="A1" s="44" t="s">
        <v>0</v>
      </c>
      <c r="B1" s="63" t="s">
        <v>32</v>
      </c>
      <c r="C1" s="63" t="s">
        <v>33</v>
      </c>
      <c r="D1" s="64" t="s">
        <v>36</v>
      </c>
      <c r="F1" s="84" t="s">
        <v>37</v>
      </c>
      <c r="G1" s="85"/>
      <c r="H1" s="53"/>
      <c r="I1" s="53"/>
      <c r="J1" s="53"/>
      <c r="K1" s="53"/>
      <c r="L1" s="53"/>
      <c r="M1" s="53"/>
      <c r="N1" s="54"/>
    </row>
    <row r="2" spans="1:14" x14ac:dyDescent="0.2">
      <c r="A2" s="38">
        <v>44200</v>
      </c>
      <c r="B2" s="61">
        <v>2.4660714247487611E-2</v>
      </c>
      <c r="C2" s="61">
        <v>5.7422890433967049E-3</v>
      </c>
      <c r="D2" s="65">
        <v>0.10316402391645087</v>
      </c>
      <c r="E2" s="60"/>
      <c r="F2" s="55"/>
      <c r="N2" s="2"/>
    </row>
    <row r="3" spans="1:14" x14ac:dyDescent="0.2">
      <c r="A3" s="38">
        <v>44202</v>
      </c>
      <c r="B3" s="61">
        <v>0.14296937306475879</v>
      </c>
      <c r="C3" s="61">
        <v>4.4942537008090616E-2</v>
      </c>
      <c r="D3" s="65">
        <v>4.9225499804885678E-2</v>
      </c>
      <c r="F3" s="86" t="s">
        <v>38</v>
      </c>
      <c r="G3" s="87"/>
      <c r="N3" s="2"/>
    </row>
    <row r="4" spans="1:14" x14ac:dyDescent="0.2">
      <c r="A4" s="38">
        <v>44203</v>
      </c>
      <c r="B4" s="61">
        <v>-7.6706068471565046E-3</v>
      </c>
      <c r="C4" s="61">
        <v>1.7074025636732441E-2</v>
      </c>
      <c r="D4" s="65">
        <v>7.7285495270613389E-2</v>
      </c>
      <c r="E4" s="58"/>
      <c r="F4" s="55" t="s">
        <v>39</v>
      </c>
      <c r="G4">
        <v>0.80704585747276092</v>
      </c>
      <c r="N4" s="2"/>
    </row>
    <row r="5" spans="1:14" x14ac:dyDescent="0.2">
      <c r="A5" s="38">
        <v>44205</v>
      </c>
      <c r="B5" s="61">
        <v>2.30355704018236E-2</v>
      </c>
      <c r="C5" s="61">
        <v>3.5358960108107219E-2</v>
      </c>
      <c r="D5" s="65">
        <v>-9.0044013097578007E-2</v>
      </c>
      <c r="F5" s="55" t="s">
        <v>40</v>
      </c>
      <c r="G5">
        <v>0.65132301606394394</v>
      </c>
      <c r="N5" s="2"/>
    </row>
    <row r="6" spans="1:14" x14ac:dyDescent="0.2">
      <c r="A6" s="38">
        <v>44206</v>
      </c>
      <c r="B6" s="61">
        <v>-9.150650682603758E-3</v>
      </c>
      <c r="C6" s="61">
        <v>-4.6444734937492446E-2</v>
      </c>
      <c r="D6" s="65">
        <v>0.12723133598147982</v>
      </c>
      <c r="F6" s="55" t="s">
        <v>41</v>
      </c>
      <c r="G6">
        <v>0.64956202119558004</v>
      </c>
      <c r="N6" s="2"/>
    </row>
    <row r="7" spans="1:14" x14ac:dyDescent="0.2">
      <c r="A7" s="38">
        <v>44207</v>
      </c>
      <c r="B7" s="61">
        <v>6.0201341386834778E-2</v>
      </c>
      <c r="C7" s="61">
        <v>2.5461141946404205E-2</v>
      </c>
      <c r="D7" s="65">
        <v>7.4071516513844624E-2</v>
      </c>
      <c r="F7" s="55" t="s">
        <v>42</v>
      </c>
      <c r="G7">
        <v>5.0790072829926702E-2</v>
      </c>
      <c r="N7" s="2"/>
    </row>
    <row r="8" spans="1:14" ht="17" thickBot="1" x14ac:dyDescent="0.25">
      <c r="A8" s="38">
        <v>44208</v>
      </c>
      <c r="B8" s="61">
        <v>-0.12415383656266772</v>
      </c>
      <c r="C8" s="61">
        <v>-1.8471500830953533E-2</v>
      </c>
      <c r="D8" s="65">
        <v>-0.27060793425603169</v>
      </c>
      <c r="F8" s="3" t="s">
        <v>43</v>
      </c>
      <c r="G8" s="4">
        <v>399</v>
      </c>
      <c r="N8" s="2"/>
    </row>
    <row r="9" spans="1:14" x14ac:dyDescent="0.2">
      <c r="A9" s="38">
        <v>44229</v>
      </c>
      <c r="B9" s="61">
        <v>-8.0833035523112801E-2</v>
      </c>
      <c r="C9" s="61">
        <v>-6.764731615366433E-2</v>
      </c>
      <c r="D9" s="65">
        <v>0.19905404626505446</v>
      </c>
      <c r="F9" s="55"/>
      <c r="N9" s="2"/>
    </row>
    <row r="10" spans="1:14" ht="17" thickBot="1" x14ac:dyDescent="0.25">
      <c r="A10" s="38">
        <v>44230</v>
      </c>
      <c r="B10" s="61">
        <v>-2.4551151294956525E-2</v>
      </c>
      <c r="C10" s="61">
        <v>-4.4362620063622524E-5</v>
      </c>
      <c r="D10" s="65">
        <v>-0.29883086531699954</v>
      </c>
      <c r="F10" s="86" t="s">
        <v>44</v>
      </c>
      <c r="G10" s="87"/>
      <c r="N10" s="2"/>
    </row>
    <row r="11" spans="1:14" x14ac:dyDescent="0.2">
      <c r="A11" s="38">
        <v>44233</v>
      </c>
      <c r="B11" s="61">
        <v>0.17183156877276809</v>
      </c>
      <c r="C11" s="61">
        <v>6.518712845631025E-2</v>
      </c>
      <c r="D11" s="65">
        <v>0.15013063337304083</v>
      </c>
      <c r="F11" s="56"/>
      <c r="G11" s="52" t="s">
        <v>49</v>
      </c>
      <c r="H11" s="52" t="s">
        <v>50</v>
      </c>
      <c r="I11" s="52" t="s">
        <v>51</v>
      </c>
      <c r="J11" s="52" t="s">
        <v>52</v>
      </c>
      <c r="K11" s="52" t="s">
        <v>53</v>
      </c>
      <c r="N11" s="2"/>
    </row>
    <row r="12" spans="1:14" x14ac:dyDescent="0.2">
      <c r="A12" s="38">
        <v>44234</v>
      </c>
      <c r="B12" s="61">
        <v>-8.4076163362530841E-3</v>
      </c>
      <c r="C12" s="61">
        <v>1.2501539621633565E-2</v>
      </c>
      <c r="D12" s="65">
        <v>0.14275277529221647</v>
      </c>
      <c r="E12" s="59"/>
      <c r="F12" s="55" t="s">
        <v>45</v>
      </c>
      <c r="G12">
        <v>2</v>
      </c>
      <c r="H12">
        <v>1.9082092717476367</v>
      </c>
      <c r="I12">
        <v>0.95410463587381833</v>
      </c>
      <c r="J12">
        <v>369.86082569852471</v>
      </c>
      <c r="K12">
        <v>2.5107852761291919E-91</v>
      </c>
      <c r="N12" s="2"/>
    </row>
    <row r="13" spans="1:14" x14ac:dyDescent="0.2">
      <c r="A13" s="38">
        <v>44235</v>
      </c>
      <c r="B13" s="61">
        <v>2.1576775417488221E-2</v>
      </c>
      <c r="C13" s="61">
        <v>2.4703958998549196E-2</v>
      </c>
      <c r="D13" s="65">
        <v>-6.7026102505993376E-2</v>
      </c>
      <c r="F13" s="55" t="s">
        <v>46</v>
      </c>
      <c r="G13">
        <v>396</v>
      </c>
      <c r="H13">
        <v>1.0215340732354266</v>
      </c>
      <c r="I13">
        <v>2.5796314980692588E-3</v>
      </c>
      <c r="N13" s="2"/>
    </row>
    <row r="14" spans="1:14" ht="17" thickBot="1" x14ac:dyDescent="0.25">
      <c r="A14" s="38">
        <v>44236</v>
      </c>
      <c r="B14" s="61">
        <v>-2.8567226244480526E-3</v>
      </c>
      <c r="C14" s="61">
        <v>-7.6116207746483372E-4</v>
      </c>
      <c r="D14" s="65">
        <v>-1.4993693812282945E-2</v>
      </c>
      <c r="F14" s="3" t="s">
        <v>47</v>
      </c>
      <c r="G14" s="4">
        <v>398</v>
      </c>
      <c r="H14" s="4">
        <v>2.9297433449830632</v>
      </c>
      <c r="I14" s="4"/>
      <c r="J14" s="4"/>
      <c r="K14" s="4"/>
      <c r="N14" s="2"/>
    </row>
    <row r="15" spans="1:14" ht="17" thickBot="1" x14ac:dyDescent="0.25">
      <c r="A15" s="38">
        <v>44238</v>
      </c>
      <c r="B15" s="61">
        <v>4.2395186709067952E-2</v>
      </c>
      <c r="C15" s="61">
        <v>-2.1796946676164115E-2</v>
      </c>
      <c r="D15" s="65">
        <v>6.0287773365532468E-2</v>
      </c>
      <c r="F15" s="55"/>
      <c r="N15" s="2"/>
    </row>
    <row r="16" spans="1:14" x14ac:dyDescent="0.2">
      <c r="A16" s="38">
        <v>44239</v>
      </c>
      <c r="B16" s="61">
        <v>-9.7866394213983646E-2</v>
      </c>
      <c r="C16" s="61">
        <v>-1.3622671920486067E-2</v>
      </c>
      <c r="D16" s="65">
        <v>-0.15800743602535916</v>
      </c>
      <c r="F16" s="56"/>
      <c r="G16" s="52" t="s">
        <v>54</v>
      </c>
      <c r="H16" s="52" t="s">
        <v>42</v>
      </c>
      <c r="I16" s="52" t="s">
        <v>55</v>
      </c>
      <c r="J16" s="52" t="s">
        <v>56</v>
      </c>
      <c r="K16" s="52" t="s">
        <v>57</v>
      </c>
      <c r="L16" s="52" t="s">
        <v>58</v>
      </c>
      <c r="M16" s="52" t="s">
        <v>59</v>
      </c>
      <c r="N16" s="57" t="s">
        <v>60</v>
      </c>
    </row>
    <row r="17" spans="1:14" x14ac:dyDescent="0.2">
      <c r="A17" s="38">
        <v>44257</v>
      </c>
      <c r="B17" s="61">
        <v>-9.063914571439495E-2</v>
      </c>
      <c r="C17" s="61">
        <v>-5.7041183981369273E-2</v>
      </c>
      <c r="D17" s="65">
        <v>0.20317032916135908</v>
      </c>
      <c r="E17" s="59"/>
      <c r="F17" s="55" t="s">
        <v>48</v>
      </c>
      <c r="G17">
        <v>7.0219634340349312E-4</v>
      </c>
      <c r="H17">
        <v>2.5431821225202645E-3</v>
      </c>
      <c r="I17">
        <v>0.27610934238072754</v>
      </c>
      <c r="J17">
        <v>0.7826081221151826</v>
      </c>
      <c r="K17">
        <v>-4.2976300478207797E-3</v>
      </c>
      <c r="L17">
        <v>5.7020227346277659E-3</v>
      </c>
      <c r="M17">
        <v>-4.2976300478207797E-3</v>
      </c>
      <c r="N17" s="2">
        <v>5.7020227346277659E-3</v>
      </c>
    </row>
    <row r="18" spans="1:14" x14ac:dyDescent="0.2">
      <c r="A18" s="38">
        <v>44258</v>
      </c>
      <c r="B18" s="61">
        <v>-2.5320735380473407E-2</v>
      </c>
      <c r="C18" s="61">
        <v>-9.675575791846813E-4</v>
      </c>
      <c r="D18" s="65">
        <v>-0.33217931206083129</v>
      </c>
      <c r="F18" s="55" t="s">
        <v>33</v>
      </c>
      <c r="G18">
        <v>1.7326755326498013</v>
      </c>
      <c r="H18">
        <v>6.3788766287372428E-2</v>
      </c>
      <c r="I18">
        <v>27.162706437117603</v>
      </c>
      <c r="J18">
        <v>1.7378174930763528E-92</v>
      </c>
      <c r="K18">
        <v>1.6072685654007617</v>
      </c>
      <c r="L18">
        <v>1.858082499898841</v>
      </c>
      <c r="M18">
        <v>1.6072685654007617</v>
      </c>
      <c r="N18" s="2">
        <v>1.858082499898841</v>
      </c>
    </row>
    <row r="19" spans="1:14" ht="17" thickBot="1" x14ac:dyDescent="0.25">
      <c r="A19" s="38">
        <v>44260</v>
      </c>
      <c r="B19" s="61">
        <v>4.9124668270226206E-2</v>
      </c>
      <c r="C19" s="61">
        <v>3.0449820523666831E-2</v>
      </c>
      <c r="D19" s="65">
        <v>0.18796905064804773</v>
      </c>
      <c r="F19" s="3" t="s">
        <v>36</v>
      </c>
      <c r="G19" s="4">
        <v>-7.6416237315654794E-3</v>
      </c>
      <c r="H19" s="4">
        <v>1.5986556423871826E-2</v>
      </c>
      <c r="I19" s="4">
        <v>-0.47800311267501439</v>
      </c>
      <c r="J19" s="4">
        <v>0.63291174667546313</v>
      </c>
      <c r="K19" s="4">
        <v>-3.90707557646503E-2</v>
      </c>
      <c r="L19" s="4">
        <v>2.378750830151934E-2</v>
      </c>
      <c r="M19" s="4">
        <v>-3.90707557646503E-2</v>
      </c>
      <c r="N19" s="5">
        <v>2.378750830151934E-2</v>
      </c>
    </row>
    <row r="20" spans="1:14" x14ac:dyDescent="0.2">
      <c r="A20" s="38">
        <v>44261</v>
      </c>
      <c r="B20" s="61">
        <v>0.12072679713605927</v>
      </c>
      <c r="C20" s="61">
        <v>3.2377608607147827E-2</v>
      </c>
      <c r="D20" s="65">
        <v>0.13560117544792943</v>
      </c>
    </row>
    <row r="21" spans="1:14" x14ac:dyDescent="0.2">
      <c r="A21" s="38">
        <v>44263</v>
      </c>
      <c r="B21" s="61">
        <v>2.3685000710141212E-3</v>
      </c>
      <c r="C21" s="61">
        <v>2.9103624560906139E-2</v>
      </c>
      <c r="D21" s="65">
        <v>-3.4432092691793807E-2</v>
      </c>
    </row>
    <row r="22" spans="1:14" x14ac:dyDescent="0.2">
      <c r="A22" s="38">
        <v>44264</v>
      </c>
      <c r="B22" s="61">
        <v>3.8368879773273703E-3</v>
      </c>
      <c r="C22" s="61">
        <v>6.4544745128519631E-3</v>
      </c>
      <c r="D22" s="65">
        <v>-7.4037557519644082E-2</v>
      </c>
    </row>
    <row r="23" spans="1:14" x14ac:dyDescent="0.2">
      <c r="A23" s="38">
        <v>44266</v>
      </c>
      <c r="B23" s="61">
        <v>4.9425880212755083E-2</v>
      </c>
      <c r="C23" s="61">
        <v>-1.7458675094678775E-2</v>
      </c>
      <c r="D23" s="65">
        <v>8.6217618982894539E-2</v>
      </c>
    </row>
    <row r="24" spans="1:14" x14ac:dyDescent="0.2">
      <c r="A24" s="38">
        <v>44267</v>
      </c>
      <c r="B24" s="61">
        <v>-0.10214657893248802</v>
      </c>
      <c r="C24" s="61">
        <v>-2.070608830595333E-2</v>
      </c>
      <c r="D24" s="65">
        <v>-0.13320927267947966</v>
      </c>
    </row>
    <row r="25" spans="1:14" x14ac:dyDescent="0.2">
      <c r="A25" s="38">
        <v>44287</v>
      </c>
      <c r="B25" s="61">
        <v>-0.14284608482424233</v>
      </c>
      <c r="C25" s="61">
        <v>-8.0040406031890554E-2</v>
      </c>
      <c r="D25" s="65">
        <v>0.16647802167062137</v>
      </c>
    </row>
    <row r="26" spans="1:14" x14ac:dyDescent="0.2">
      <c r="A26" s="38">
        <v>44288</v>
      </c>
      <c r="B26" s="61">
        <v>3.8761365418975707E-2</v>
      </c>
      <c r="C26" s="61">
        <v>1.2089636233800726E-2</v>
      </c>
      <c r="D26" s="65">
        <v>-0.25030378600301761</v>
      </c>
    </row>
    <row r="27" spans="1:14" x14ac:dyDescent="0.2">
      <c r="A27" s="38">
        <v>44289</v>
      </c>
      <c r="B27" s="61">
        <v>-7.8413685915964919E-3</v>
      </c>
      <c r="C27" s="61">
        <v>-7.0973373179296405E-4</v>
      </c>
      <c r="D27" s="65">
        <v>-7.2412699770680988E-2</v>
      </c>
    </row>
    <row r="28" spans="1:14" x14ac:dyDescent="0.2">
      <c r="A28" s="38">
        <v>44291</v>
      </c>
      <c r="B28" s="61">
        <v>4.604104430874921E-2</v>
      </c>
      <c r="C28" s="61">
        <v>4.4436971093682595E-2</v>
      </c>
      <c r="D28" s="65">
        <v>0.23385940744879691</v>
      </c>
    </row>
    <row r="29" spans="1:14" x14ac:dyDescent="0.2">
      <c r="A29" s="38">
        <v>44292</v>
      </c>
      <c r="B29" s="61">
        <v>0.12526068965456622</v>
      </c>
      <c r="C29" s="61">
        <v>3.1680606464838834E-2</v>
      </c>
      <c r="D29" s="65">
        <v>0.13210152629709057</v>
      </c>
    </row>
    <row r="30" spans="1:14" x14ac:dyDescent="0.2">
      <c r="A30" s="38">
        <v>44294</v>
      </c>
      <c r="B30" s="61">
        <v>-2.832724726947628E-3</v>
      </c>
      <c r="C30" s="61">
        <v>2.8085583664301139E-2</v>
      </c>
      <c r="D30" s="65">
        <v>-8.9281746780141572E-2</v>
      </c>
    </row>
    <row r="31" spans="1:14" x14ac:dyDescent="0.2">
      <c r="A31" s="38">
        <v>44296</v>
      </c>
      <c r="B31" s="61">
        <v>2.8257823092757737E-2</v>
      </c>
      <c r="C31" s="61">
        <v>-3.0404799190013154E-2</v>
      </c>
      <c r="D31" s="65">
        <v>5.3849762526150091E-2</v>
      </c>
    </row>
    <row r="32" spans="1:14" x14ac:dyDescent="0.2">
      <c r="A32" s="38">
        <v>44297</v>
      </c>
      <c r="B32" s="61">
        <v>3.1267173118833883E-2</v>
      </c>
      <c r="C32" s="61">
        <v>2.0331846467880894E-2</v>
      </c>
      <c r="D32" s="65">
        <v>4.599452733994859E-2</v>
      </c>
    </row>
    <row r="33" spans="1:4" x14ac:dyDescent="0.2">
      <c r="A33" s="38">
        <v>44317</v>
      </c>
      <c r="B33" s="61">
        <v>-0.26514231322251047</v>
      </c>
      <c r="C33" s="61">
        <v>-0.10585426524704795</v>
      </c>
      <c r="D33" s="65">
        <v>-0.17822549396685963</v>
      </c>
    </row>
    <row r="34" spans="1:4" x14ac:dyDescent="0.2">
      <c r="A34" s="38">
        <v>44318</v>
      </c>
      <c r="B34" s="61">
        <v>6.2975363240969959E-2</v>
      </c>
      <c r="C34" s="61">
        <v>2.3458450134620269E-2</v>
      </c>
      <c r="D34" s="65">
        <v>-0.1366453289972914</v>
      </c>
    </row>
    <row r="35" spans="1:4" x14ac:dyDescent="0.2">
      <c r="A35" s="38">
        <v>44319</v>
      </c>
      <c r="B35" s="61">
        <v>-2.501701086967419E-2</v>
      </c>
      <c r="C35" s="61">
        <v>-1.9142659463923337E-2</v>
      </c>
      <c r="D35" s="65">
        <v>-4.1208787849805709E-2</v>
      </c>
    </row>
    <row r="36" spans="1:4" x14ac:dyDescent="0.2">
      <c r="A36" s="38">
        <v>44321</v>
      </c>
      <c r="B36" s="61">
        <v>7.0017986902196724E-2</v>
      </c>
      <c r="C36" s="61">
        <v>5.578489080307112E-2</v>
      </c>
      <c r="D36" s="65">
        <v>0.22973266640639328</v>
      </c>
    </row>
    <row r="37" spans="1:4" x14ac:dyDescent="0.2">
      <c r="A37" s="38">
        <v>44323</v>
      </c>
      <c r="B37" s="61">
        <v>6.7352182029491559E-2</v>
      </c>
      <c r="C37" s="61">
        <v>3.0423974754908194E-2</v>
      </c>
      <c r="D37" s="65">
        <v>1.0182397228949577E-2</v>
      </c>
    </row>
    <row r="38" spans="1:4" x14ac:dyDescent="0.2">
      <c r="A38" s="38">
        <v>44324</v>
      </c>
      <c r="B38" s="61">
        <v>4.1765288135895723E-2</v>
      </c>
      <c r="C38" s="61">
        <v>2.6454891949576509E-2</v>
      </c>
      <c r="D38" s="65">
        <v>2.0278646917900746E-2</v>
      </c>
    </row>
    <row r="39" spans="1:4" x14ac:dyDescent="0.2">
      <c r="A39" s="38">
        <v>44326</v>
      </c>
      <c r="B39" s="61">
        <v>2.0009283719237617E-2</v>
      </c>
      <c r="C39" s="61">
        <v>-3.5601171565798458E-2</v>
      </c>
      <c r="D39" s="65">
        <v>8.1809250558232308E-2</v>
      </c>
    </row>
    <row r="40" spans="1:4" x14ac:dyDescent="0.2">
      <c r="A40" s="38">
        <v>44327</v>
      </c>
      <c r="B40" s="61">
        <v>3.9129567913278249E-2</v>
      </c>
      <c r="C40" s="61">
        <v>2.8359023397287755E-2</v>
      </c>
      <c r="D40" s="65">
        <v>5.9009418105589462E-3</v>
      </c>
    </row>
    <row r="41" spans="1:4" x14ac:dyDescent="0.2">
      <c r="A41" s="38">
        <v>44348</v>
      </c>
      <c r="B41" s="61">
        <v>-0.28020545868815011</v>
      </c>
      <c r="C41" s="61">
        <v>-0.12099494985755627</v>
      </c>
      <c r="D41" s="65">
        <v>-0.14141206699551065</v>
      </c>
    </row>
    <row r="42" spans="1:4" x14ac:dyDescent="0.2">
      <c r="A42" s="38">
        <v>44351</v>
      </c>
      <c r="B42" s="61">
        <v>3.7061010492007482E-2</v>
      </c>
      <c r="C42" s="61">
        <v>4.1331014196291364E-2</v>
      </c>
      <c r="D42" s="65">
        <v>-0.24824107679333876</v>
      </c>
    </row>
    <row r="43" spans="1:4" x14ac:dyDescent="0.2">
      <c r="A43" s="38">
        <v>44352</v>
      </c>
      <c r="B43" s="61">
        <v>7.7258051023575552E-2</v>
      </c>
      <c r="C43" s="61">
        <v>2.5209973128365541E-2</v>
      </c>
      <c r="D43" s="65">
        <v>0.23752594984083203</v>
      </c>
    </row>
    <row r="44" spans="1:4" x14ac:dyDescent="0.2">
      <c r="A44" s="38">
        <v>44354</v>
      </c>
      <c r="B44" s="61">
        <v>5.9319957139147901E-2</v>
      </c>
      <c r="C44" s="61">
        <v>2.794191627022204E-2</v>
      </c>
      <c r="D44" s="65">
        <v>0.15447581527407195</v>
      </c>
    </row>
    <row r="45" spans="1:4" x14ac:dyDescent="0.2">
      <c r="A45" s="38">
        <v>44355</v>
      </c>
      <c r="B45" s="61">
        <v>5.0710078314827683E-2</v>
      </c>
      <c r="C45" s="61">
        <v>3.7382225919933246E-2</v>
      </c>
      <c r="D45" s="65">
        <v>-0.1550551551926036</v>
      </c>
    </row>
    <row r="46" spans="1:4" x14ac:dyDescent="0.2">
      <c r="A46" s="38">
        <v>44356</v>
      </c>
      <c r="B46" s="61">
        <v>-1.5443947386523894E-2</v>
      </c>
      <c r="C46" s="61">
        <v>-1.3141391294483873E-3</v>
      </c>
      <c r="D46" s="65">
        <v>-1.8515804168656634E-2</v>
      </c>
    </row>
    <row r="47" spans="1:4" x14ac:dyDescent="0.2">
      <c r="A47" s="38">
        <v>44357</v>
      </c>
      <c r="B47" s="61">
        <v>1.2258155243791626E-2</v>
      </c>
      <c r="C47" s="61">
        <v>-4.3712422239940638E-2</v>
      </c>
      <c r="D47" s="65">
        <v>0.24570313770083724</v>
      </c>
    </row>
    <row r="48" spans="1:4" x14ac:dyDescent="0.2">
      <c r="A48" s="38">
        <v>44359</v>
      </c>
      <c r="B48" s="61">
        <v>-6.1616217520152929E-2</v>
      </c>
      <c r="C48" s="61">
        <v>5.3419817588683024E-3</v>
      </c>
      <c r="D48" s="65">
        <v>-0.1732219246846359</v>
      </c>
    </row>
    <row r="49" spans="1:4" x14ac:dyDescent="0.2">
      <c r="A49" s="38">
        <v>44378</v>
      </c>
      <c r="B49" s="61">
        <v>-0.13948431740358</v>
      </c>
      <c r="C49" s="61">
        <v>-7.642840913498361E-2</v>
      </c>
      <c r="D49" s="65">
        <v>-0.31773983860402699</v>
      </c>
    </row>
    <row r="50" spans="1:4" x14ac:dyDescent="0.2">
      <c r="A50" s="38">
        <v>44381</v>
      </c>
      <c r="B50" s="61">
        <v>2.279334257430506E-2</v>
      </c>
      <c r="C50" s="61">
        <v>3.1674202095229059E-2</v>
      </c>
      <c r="D50" s="65">
        <v>0.34633856814168124</v>
      </c>
    </row>
    <row r="51" spans="1:4" x14ac:dyDescent="0.2">
      <c r="A51" s="38">
        <v>44382</v>
      </c>
      <c r="B51" s="61">
        <v>8.1952181461138848E-2</v>
      </c>
      <c r="C51" s="61">
        <v>2.181572441239615E-2</v>
      </c>
      <c r="D51" s="65">
        <v>2.8296639919692043E-3</v>
      </c>
    </row>
    <row r="52" spans="1:4" x14ac:dyDescent="0.2">
      <c r="A52" s="38">
        <v>44383</v>
      </c>
      <c r="B52" s="61">
        <v>8.1842947100535232E-2</v>
      </c>
      <c r="C52" s="61">
        <v>2.8004921495346058E-2</v>
      </c>
      <c r="D52" s="65">
        <v>4.4650365047850596E-2</v>
      </c>
    </row>
    <row r="53" spans="1:4" x14ac:dyDescent="0.2">
      <c r="A53" s="38">
        <v>44384</v>
      </c>
      <c r="B53" s="61">
        <v>-2.2020330339620028E-2</v>
      </c>
      <c r="C53" s="61">
        <v>6.1606897661381473E-3</v>
      </c>
      <c r="D53" s="65">
        <v>-7.9240413703713999E-2</v>
      </c>
    </row>
    <row r="54" spans="1:4" x14ac:dyDescent="0.2">
      <c r="A54" s="38">
        <v>44386</v>
      </c>
      <c r="B54" s="61">
        <v>2.407844837879634E-2</v>
      </c>
      <c r="C54" s="61">
        <v>2.7382374721620951E-2</v>
      </c>
      <c r="D54" s="65">
        <v>-8.2751719620073452E-2</v>
      </c>
    </row>
    <row r="55" spans="1:4" x14ac:dyDescent="0.2">
      <c r="A55" s="38">
        <v>44387</v>
      </c>
      <c r="B55" s="61">
        <v>1.2357247977385728E-2</v>
      </c>
      <c r="C55" s="61">
        <v>-3.7009701610576699E-2</v>
      </c>
      <c r="D55" s="65">
        <v>0.24105511469521457</v>
      </c>
    </row>
    <row r="56" spans="1:4" x14ac:dyDescent="0.2">
      <c r="A56" s="38">
        <v>44389</v>
      </c>
      <c r="B56" s="61">
        <v>-5.7516845959303599E-2</v>
      </c>
      <c r="C56" s="61">
        <v>7.851467179584088E-3</v>
      </c>
      <c r="D56" s="65">
        <v>-0.16658322246694904</v>
      </c>
    </row>
    <row r="57" spans="1:4" x14ac:dyDescent="0.2">
      <c r="A57" s="38">
        <v>44409</v>
      </c>
      <c r="B57" s="61">
        <v>-0.13114913419947946</v>
      </c>
      <c r="C57" s="61">
        <v>-7.9064456319326307E-2</v>
      </c>
      <c r="D57" s="65">
        <v>-0.28595530838349792</v>
      </c>
    </row>
    <row r="58" spans="1:4" x14ac:dyDescent="0.2">
      <c r="A58" s="38">
        <v>44410</v>
      </c>
      <c r="B58" s="61">
        <v>3.4321876733242947E-2</v>
      </c>
      <c r="C58" s="61">
        <v>1.8008200050393768E-2</v>
      </c>
      <c r="D58" s="65">
        <v>2.2329966867739873E-2</v>
      </c>
    </row>
    <row r="59" spans="1:4" x14ac:dyDescent="0.2">
      <c r="A59" s="38">
        <v>44411</v>
      </c>
      <c r="B59" s="61">
        <v>-1.4778034089600453E-2</v>
      </c>
      <c r="C59" s="61">
        <v>-2.0719814973616985E-2</v>
      </c>
      <c r="D59" s="65">
        <v>0.36906566339495933</v>
      </c>
    </row>
    <row r="60" spans="1:4" x14ac:dyDescent="0.2">
      <c r="A60" s="38">
        <v>44412</v>
      </c>
      <c r="B60" s="61">
        <v>-2.2930530570379913E-3</v>
      </c>
      <c r="C60" s="61">
        <v>3.7738129806234547E-2</v>
      </c>
      <c r="D60" s="65">
        <v>-7.4705019267266914E-2</v>
      </c>
    </row>
    <row r="61" spans="1:4" x14ac:dyDescent="0.2">
      <c r="A61" s="38">
        <v>44414</v>
      </c>
      <c r="B61" s="61">
        <v>0.15257525610637607</v>
      </c>
      <c r="C61" s="61">
        <v>4.1121429595939819E-2</v>
      </c>
      <c r="D61" s="65">
        <v>5.5329394671852612E-2</v>
      </c>
    </row>
    <row r="62" spans="1:4" x14ac:dyDescent="0.2">
      <c r="A62" s="38">
        <v>44415</v>
      </c>
      <c r="B62" s="61">
        <v>-1.9804598129812924E-2</v>
      </c>
      <c r="C62" s="61">
        <v>6.6694247492395829E-3</v>
      </c>
      <c r="D62" s="65">
        <v>-6.3886400631252727E-2</v>
      </c>
    </row>
    <row r="63" spans="1:4" x14ac:dyDescent="0.2">
      <c r="A63" s="38">
        <v>44417</v>
      </c>
      <c r="B63" s="61">
        <v>3.3894850812275223E-2</v>
      </c>
      <c r="C63" s="61">
        <v>2.2972181772454622E-2</v>
      </c>
      <c r="D63" s="65">
        <v>-7.5592717105096074E-2</v>
      </c>
    </row>
    <row r="64" spans="1:4" x14ac:dyDescent="0.2">
      <c r="A64" s="38">
        <v>44418</v>
      </c>
      <c r="B64" s="61">
        <v>1.4756500589031316E-2</v>
      </c>
      <c r="C64" s="61">
        <v>-2.587775282386914E-2</v>
      </c>
      <c r="D64" s="65">
        <v>0.23762224070499582</v>
      </c>
    </row>
    <row r="65" spans="1:4" x14ac:dyDescent="0.2">
      <c r="A65" s="38">
        <v>44419</v>
      </c>
      <c r="B65" s="61">
        <v>5.2952998174277732E-2</v>
      </c>
      <c r="C65" s="61">
        <v>1.7885301729740531E-2</v>
      </c>
      <c r="D65" s="65">
        <v>-0.20641586547682089</v>
      </c>
    </row>
    <row r="66" spans="1:4" x14ac:dyDescent="0.2">
      <c r="A66" s="38">
        <v>44420</v>
      </c>
      <c r="B66" s="61">
        <v>-0.11720434178630282</v>
      </c>
      <c r="C66" s="61">
        <v>-6.2998269952612594E-3</v>
      </c>
      <c r="D66" s="65">
        <v>3.3681895675265687E-2</v>
      </c>
    </row>
    <row r="67" spans="1:4" x14ac:dyDescent="0.2">
      <c r="A67" s="38">
        <v>44441</v>
      </c>
      <c r="B67" s="61">
        <v>-0.1137330549553813</v>
      </c>
      <c r="C67" s="61">
        <v>-8.2174054359949872E-2</v>
      </c>
      <c r="D67" s="65">
        <v>-0.27171704440734179</v>
      </c>
    </row>
    <row r="68" spans="1:4" x14ac:dyDescent="0.2">
      <c r="A68" s="38">
        <v>44442</v>
      </c>
      <c r="B68" s="61">
        <v>5.3619431413853731E-3</v>
      </c>
      <c r="C68" s="61">
        <v>-7.3570856548883191E-3</v>
      </c>
      <c r="D68" s="65">
        <v>0.28075359243804493</v>
      </c>
    </row>
    <row r="69" spans="1:4" x14ac:dyDescent="0.2">
      <c r="A69" s="38">
        <v>44443</v>
      </c>
      <c r="B69" s="61">
        <v>-8.6847763333584432E-3</v>
      </c>
      <c r="C69" s="61">
        <v>3.2545875758293853E-2</v>
      </c>
      <c r="D69" s="65">
        <v>1.8042467625906215E-3</v>
      </c>
    </row>
    <row r="70" spans="1:4" x14ac:dyDescent="0.2">
      <c r="A70" s="38">
        <v>44445</v>
      </c>
      <c r="B70" s="61">
        <v>0.14851102627679802</v>
      </c>
      <c r="C70" s="61">
        <v>3.8559601923367139E-2</v>
      </c>
      <c r="D70" s="65">
        <v>6.6922629094679609E-2</v>
      </c>
    </row>
    <row r="71" spans="1:4" x14ac:dyDescent="0.2">
      <c r="A71" s="38">
        <v>44446</v>
      </c>
      <c r="B71" s="61">
        <v>-2.4942445933043487E-2</v>
      </c>
      <c r="C71" s="61">
        <v>4.2630729149773807E-4</v>
      </c>
      <c r="D71" s="65">
        <v>-6.8835472406691078E-2</v>
      </c>
    </row>
    <row r="72" spans="1:4" x14ac:dyDescent="0.2">
      <c r="A72" s="38">
        <v>44447</v>
      </c>
      <c r="B72" s="61">
        <v>6.2418921671615731E-2</v>
      </c>
      <c r="C72" s="61">
        <v>3.5799849135516822E-2</v>
      </c>
      <c r="D72" s="65">
        <v>-5.3628847231456563E-2</v>
      </c>
    </row>
    <row r="73" spans="1:4" x14ac:dyDescent="0.2">
      <c r="A73" s="38">
        <v>44448</v>
      </c>
      <c r="B73" s="61">
        <v>-4.2733642039904658E-2</v>
      </c>
      <c r="C73" s="61">
        <v>-2.2660096615733798E-2</v>
      </c>
      <c r="D73" s="65">
        <v>-3.9802446657078668E-2</v>
      </c>
    </row>
    <row r="74" spans="1:4" x14ac:dyDescent="0.2">
      <c r="A74" s="38">
        <v>44450</v>
      </c>
      <c r="B74" s="61">
        <v>7.8948125744259703E-2</v>
      </c>
      <c r="C74" s="61">
        <v>8.741113635228363E-3</v>
      </c>
      <c r="D74" s="65">
        <v>4.5832344200319064E-2</v>
      </c>
    </row>
    <row r="75" spans="1:4" x14ac:dyDescent="0.2">
      <c r="A75" s="38">
        <v>44451</v>
      </c>
      <c r="B75" s="61">
        <v>-0.10300444156026473</v>
      </c>
      <c r="C75" s="61">
        <v>-6.7077660456759123E-3</v>
      </c>
      <c r="D75" s="65">
        <v>5.6796413895452161E-2</v>
      </c>
    </row>
    <row r="76" spans="1:4" x14ac:dyDescent="0.2">
      <c r="A76" s="38">
        <v>44471</v>
      </c>
      <c r="B76" s="61">
        <v>-0.13085712790649356</v>
      </c>
      <c r="C76" s="61">
        <v>-7.4127764325501985E-2</v>
      </c>
      <c r="D76" s="65">
        <v>-0.27467460573081598</v>
      </c>
    </row>
    <row r="77" spans="1:4" x14ac:dyDescent="0.2">
      <c r="A77" s="38">
        <v>44472</v>
      </c>
      <c r="B77" s="61">
        <v>6.9428651951736857E-3</v>
      </c>
      <c r="C77" s="61">
        <v>-2.104565186098183E-2</v>
      </c>
      <c r="D77" s="65">
        <v>0.23571405665634476</v>
      </c>
    </row>
    <row r="78" spans="1:4" x14ac:dyDescent="0.2">
      <c r="A78" s="38">
        <v>44474</v>
      </c>
      <c r="B78" s="61">
        <v>9.2770056050822544E-2</v>
      </c>
      <c r="C78" s="61">
        <v>6.608630172129383E-2</v>
      </c>
      <c r="D78" s="65">
        <v>9.3294130126959321E-2</v>
      </c>
    </row>
    <row r="79" spans="1:4" x14ac:dyDescent="0.2">
      <c r="A79" s="38">
        <v>44475</v>
      </c>
      <c r="B79" s="61">
        <v>6.8046548930656245E-2</v>
      </c>
      <c r="C79" s="61">
        <v>1.7920660860721058E-2</v>
      </c>
      <c r="D79" s="65">
        <v>-4.373603157935918E-3</v>
      </c>
    </row>
    <row r="80" spans="1:4" x14ac:dyDescent="0.2">
      <c r="A80" s="38">
        <v>44477</v>
      </c>
      <c r="B80" s="61">
        <v>4.5207064119264236E-2</v>
      </c>
      <c r="C80" s="61">
        <v>3.4998291130271794E-2</v>
      </c>
      <c r="D80" s="65">
        <v>-0.11924144410407204</v>
      </c>
    </row>
    <row r="81" spans="1:4" x14ac:dyDescent="0.2">
      <c r="A81" s="38">
        <v>44478</v>
      </c>
      <c r="B81" s="61">
        <v>-5.2696997626112747E-2</v>
      </c>
      <c r="C81" s="61">
        <v>-2.0843551807254921E-2</v>
      </c>
      <c r="D81" s="65">
        <v>-8.1919997370734736E-3</v>
      </c>
    </row>
    <row r="82" spans="1:4" x14ac:dyDescent="0.2">
      <c r="A82" s="38">
        <v>44480</v>
      </c>
      <c r="B82" s="61">
        <v>7.4510643921628872E-2</v>
      </c>
      <c r="C82" s="61">
        <v>2.3330309628184142E-3</v>
      </c>
      <c r="D82" s="65">
        <v>2.4063270976692003E-2</v>
      </c>
    </row>
    <row r="83" spans="1:4" x14ac:dyDescent="0.2">
      <c r="A83" s="38">
        <v>44481</v>
      </c>
      <c r="B83" s="61">
        <v>-0.1065753035511303</v>
      </c>
      <c r="C83" s="61">
        <v>-9.5281352073628648E-3</v>
      </c>
      <c r="D83" s="65">
        <v>4.5122210167435596E-2</v>
      </c>
    </row>
    <row r="84" spans="1:4" x14ac:dyDescent="0.2">
      <c r="A84" s="38">
        <v>44501</v>
      </c>
      <c r="B84" s="61">
        <v>-0.13941470951118612</v>
      </c>
      <c r="C84" s="61">
        <v>-9.348686175798028E-2</v>
      </c>
      <c r="D84" s="65">
        <v>-0.26552397446021153</v>
      </c>
    </row>
    <row r="85" spans="1:4" x14ac:dyDescent="0.2">
      <c r="A85" s="38">
        <v>44502</v>
      </c>
      <c r="B85" s="61">
        <v>2.1950826188919258E-2</v>
      </c>
      <c r="C85" s="61">
        <v>2.2573722107471234E-2</v>
      </c>
      <c r="D85" s="65">
        <v>-1.0397430331721892E-2</v>
      </c>
    </row>
    <row r="86" spans="1:4" x14ac:dyDescent="0.2">
      <c r="A86" s="38">
        <v>44503</v>
      </c>
      <c r="B86" s="61">
        <v>-6.9164540848984987E-3</v>
      </c>
      <c r="C86" s="61">
        <v>-2.008324651161884E-2</v>
      </c>
      <c r="D86" s="65">
        <v>0.1874948114825965</v>
      </c>
    </row>
    <row r="87" spans="1:4" x14ac:dyDescent="0.2">
      <c r="A87" s="38">
        <v>44505</v>
      </c>
      <c r="B87" s="61">
        <v>8.9879825086430179E-2</v>
      </c>
      <c r="C87" s="61">
        <v>5.5492155346742282E-2</v>
      </c>
      <c r="D87" s="65">
        <v>0.12122560156714048</v>
      </c>
    </row>
    <row r="88" spans="1:4" x14ac:dyDescent="0.2">
      <c r="A88" s="38">
        <v>44506</v>
      </c>
      <c r="B88" s="61">
        <v>6.9232498797153944E-2</v>
      </c>
      <c r="C88" s="61">
        <v>2.9885702213748803E-2</v>
      </c>
      <c r="D88" s="65">
        <v>2.2404993792375628E-2</v>
      </c>
    </row>
    <row r="89" spans="1:4" x14ac:dyDescent="0.2">
      <c r="A89" s="38">
        <v>44508</v>
      </c>
      <c r="B89" s="61">
        <v>6.5025527629314558E-2</v>
      </c>
      <c r="C89" s="61">
        <v>3.6522459375795395E-2</v>
      </c>
      <c r="D89" s="65">
        <v>-0.10073410355018442</v>
      </c>
    </row>
    <row r="90" spans="1:4" x14ac:dyDescent="0.2">
      <c r="A90" s="38">
        <v>44510</v>
      </c>
      <c r="B90" s="61">
        <v>-3.2700461310934646E-2</v>
      </c>
      <c r="C90" s="61">
        <v>-3.8233370613630288E-2</v>
      </c>
      <c r="D90" s="65">
        <v>0.21779492251103533</v>
      </c>
    </row>
    <row r="91" spans="1:4" x14ac:dyDescent="0.2">
      <c r="A91" s="38">
        <v>44511</v>
      </c>
      <c r="B91" s="61">
        <v>2.3412756393642153E-2</v>
      </c>
      <c r="C91" s="61">
        <v>1.118410753292012E-2</v>
      </c>
      <c r="D91" s="65">
        <v>-0.26346101753278733</v>
      </c>
    </row>
    <row r="92" spans="1:4" x14ac:dyDescent="0.2">
      <c r="A92" s="38">
        <v>44531</v>
      </c>
      <c r="B92" s="61">
        <v>-0.22146538571432553</v>
      </c>
      <c r="C92" s="61">
        <v>-0.10004781011902196</v>
      </c>
      <c r="D92" s="65">
        <v>-0.19261393466826099</v>
      </c>
    </row>
    <row r="93" spans="1:4" x14ac:dyDescent="0.2">
      <c r="A93" s="38">
        <v>44532</v>
      </c>
      <c r="B93" s="61">
        <v>1.1461775261249078E-2</v>
      </c>
      <c r="C93" s="61">
        <v>1.8924173283408341E-2</v>
      </c>
      <c r="D93" s="65">
        <v>1.5393088391527164E-2</v>
      </c>
    </row>
    <row r="94" spans="1:4" x14ac:dyDescent="0.2">
      <c r="A94" s="38">
        <v>44533</v>
      </c>
      <c r="B94" s="61">
        <v>-4.3839479534087053E-3</v>
      </c>
      <c r="C94" s="61">
        <v>-5.879119597066447E-3</v>
      </c>
      <c r="D94" s="65">
        <v>0.20244825766756144</v>
      </c>
    </row>
    <row r="95" spans="1:4" x14ac:dyDescent="0.2">
      <c r="A95" s="38">
        <v>44534</v>
      </c>
      <c r="B95" s="61">
        <v>2.655737372915701E-3</v>
      </c>
      <c r="C95" s="61">
        <v>3.0160646634459613E-2</v>
      </c>
      <c r="D95" s="65">
        <v>8.4641377896448128E-2</v>
      </c>
    </row>
    <row r="96" spans="1:4" x14ac:dyDescent="0.2">
      <c r="A96" s="38">
        <v>44535</v>
      </c>
      <c r="B96" s="61">
        <v>9.7174425586752072E-2</v>
      </c>
      <c r="C96" s="61">
        <v>1.0115002532282707E-2</v>
      </c>
      <c r="D96" s="65">
        <v>2.7984520209507271E-2</v>
      </c>
    </row>
    <row r="97" spans="1:4" x14ac:dyDescent="0.2">
      <c r="A97" s="38">
        <v>44537</v>
      </c>
      <c r="B97" s="61">
        <v>3.6976585919945543E-2</v>
      </c>
      <c r="C97" s="61">
        <v>4.0148940918930641E-2</v>
      </c>
      <c r="D97" s="65">
        <v>-6.0979973475577445E-2</v>
      </c>
    </row>
    <row r="98" spans="1:4" x14ac:dyDescent="0.2">
      <c r="A98" s="38">
        <v>44538</v>
      </c>
      <c r="B98" s="61">
        <v>6.5470828160866759E-2</v>
      </c>
      <c r="C98" s="61">
        <v>3.4141517427175715E-2</v>
      </c>
      <c r="D98" s="65">
        <v>-1.3306050603048559E-2</v>
      </c>
    </row>
    <row r="99" spans="1:4" x14ac:dyDescent="0.2">
      <c r="A99" s="38">
        <v>44540</v>
      </c>
      <c r="B99" s="61">
        <v>-9.394195385387976E-3</v>
      </c>
      <c r="C99" s="61">
        <v>-4.1367397699584897E-2</v>
      </c>
      <c r="D99" s="65">
        <v>0.1515637347037031</v>
      </c>
    </row>
    <row r="100" spans="1:4" x14ac:dyDescent="0.2">
      <c r="A100" s="38">
        <v>44541</v>
      </c>
      <c r="B100" s="61">
        <v>3.0329539434734452E-2</v>
      </c>
      <c r="C100" s="61">
        <v>2.2046981945509959E-2</v>
      </c>
      <c r="D100" s="65">
        <v>-0.2095879234618116</v>
      </c>
    </row>
    <row r="101" spans="1:4" x14ac:dyDescent="0.2">
      <c r="A101" s="38">
        <v>44563</v>
      </c>
      <c r="B101" s="61">
        <v>-0.14069189740182278</v>
      </c>
      <c r="C101" s="61">
        <v>-6.0507068602478613E-2</v>
      </c>
      <c r="D101" s="65">
        <v>0.33340555844058323</v>
      </c>
    </row>
    <row r="102" spans="1:4" x14ac:dyDescent="0.2">
      <c r="A102" s="38">
        <v>44564</v>
      </c>
      <c r="B102" s="61">
        <v>9.4305334675480502E-3</v>
      </c>
      <c r="C102" s="61">
        <v>1.2834779981880234E-2</v>
      </c>
      <c r="D102" s="65">
        <v>-2.8233621793206085E-2</v>
      </c>
    </row>
    <row r="103" spans="1:4" x14ac:dyDescent="0.2">
      <c r="A103" s="38">
        <v>44565</v>
      </c>
      <c r="B103" s="61">
        <v>9.7493754070643548E-2</v>
      </c>
      <c r="C103" s="61">
        <v>5.4474307241108383E-2</v>
      </c>
      <c r="D103" s="65">
        <v>4.0626074038895045E-2</v>
      </c>
    </row>
    <row r="104" spans="1:4" x14ac:dyDescent="0.2">
      <c r="A104" s="38">
        <v>44567</v>
      </c>
      <c r="B104" s="61">
        <v>2.064076308385767E-2</v>
      </c>
      <c r="C104" s="61">
        <v>-3.5283878468377612E-2</v>
      </c>
      <c r="D104" s="65">
        <v>0.10438302492153255</v>
      </c>
    </row>
    <row r="105" spans="1:4" x14ac:dyDescent="0.2">
      <c r="A105" s="38">
        <v>44568</v>
      </c>
      <c r="B105" s="61">
        <v>-0.16255751750738254</v>
      </c>
      <c r="C105" s="61">
        <v>-0.10087025869757778</v>
      </c>
      <c r="D105" s="65">
        <v>-2.2846177084721503E-2</v>
      </c>
    </row>
    <row r="106" spans="1:4" x14ac:dyDescent="0.2">
      <c r="A106" s="38">
        <v>44569</v>
      </c>
      <c r="B106" s="61">
        <v>0.10835492539890246</v>
      </c>
      <c r="C106" s="61">
        <v>6.6987773889401442E-2</v>
      </c>
      <c r="D106" s="65">
        <v>-5.5851528065147218E-2</v>
      </c>
    </row>
    <row r="107" spans="1:4" x14ac:dyDescent="0.2">
      <c r="A107" s="38">
        <v>44570</v>
      </c>
      <c r="B107" s="61">
        <v>-5.1043393305427863E-2</v>
      </c>
      <c r="C107" s="61">
        <v>-2.1303538600021675E-2</v>
      </c>
      <c r="D107" s="65">
        <v>4.000127285160579E-2</v>
      </c>
    </row>
    <row r="108" spans="1:4" x14ac:dyDescent="0.2">
      <c r="A108" s="38">
        <v>44572</v>
      </c>
      <c r="B108" s="61">
        <v>9.9041791796125891E-2</v>
      </c>
      <c r="C108" s="61">
        <v>1.8998581924878681E-2</v>
      </c>
      <c r="D108" s="65">
        <v>0.20344760345413376</v>
      </c>
    </row>
    <row r="109" spans="1:4" x14ac:dyDescent="0.2">
      <c r="A109" s="38">
        <v>44573</v>
      </c>
      <c r="B109" s="61">
        <v>2.2101892821500754E-2</v>
      </c>
      <c r="C109" s="61">
        <v>5.2694081520820939E-2</v>
      </c>
      <c r="D109" s="65">
        <v>-0.10548521624508057</v>
      </c>
    </row>
    <row r="110" spans="1:4" x14ac:dyDescent="0.2">
      <c r="A110" s="38">
        <v>44594</v>
      </c>
      <c r="B110" s="61">
        <v>-0.1348762763365865</v>
      </c>
      <c r="C110" s="61">
        <v>-3.6937886216791893E-2</v>
      </c>
      <c r="D110" s="65">
        <v>-0.14375497894653599</v>
      </c>
    </row>
    <row r="111" spans="1:4" x14ac:dyDescent="0.2">
      <c r="A111" s="38">
        <v>44595</v>
      </c>
      <c r="B111" s="61">
        <v>-4.2229730357304867E-4</v>
      </c>
      <c r="C111" s="61">
        <v>4.0832474856881268E-3</v>
      </c>
      <c r="D111" s="65">
        <v>3.3264872932077388E-3</v>
      </c>
    </row>
    <row r="112" spans="1:4" x14ac:dyDescent="0.2">
      <c r="A112" s="38">
        <v>44597</v>
      </c>
      <c r="B112" s="61">
        <v>8.3723683476626787E-2</v>
      </c>
      <c r="C112" s="61">
        <v>3.1847931801836316E-2</v>
      </c>
      <c r="D112" s="65">
        <v>0.12040600088301807</v>
      </c>
    </row>
    <row r="113" spans="1:4" x14ac:dyDescent="0.2">
      <c r="A113" s="38">
        <v>44598</v>
      </c>
      <c r="B113" s="61">
        <v>2.3704387085537678E-2</v>
      </c>
      <c r="C113" s="61">
        <v>-2.3563877318765511E-2</v>
      </c>
      <c r="D113" s="65">
        <v>-4.903643287196064E-2</v>
      </c>
    </row>
    <row r="114" spans="1:4" x14ac:dyDescent="0.2">
      <c r="A114" s="38">
        <v>44600</v>
      </c>
      <c r="B114" s="61">
        <v>-3.3463418378062791E-2</v>
      </c>
      <c r="C114" s="61">
        <v>-2.5089505678891906E-2</v>
      </c>
      <c r="D114" s="65">
        <v>-9.0824564123303947E-2</v>
      </c>
    </row>
    <row r="115" spans="1:4" x14ac:dyDescent="0.2">
      <c r="A115" s="38">
        <v>44601</v>
      </c>
      <c r="B115" s="61">
        <v>-5.048327068747345E-2</v>
      </c>
      <c r="C115" s="61">
        <v>-2.4504364923756305E-2</v>
      </c>
      <c r="D115" s="65">
        <v>7.8271963896262037E-2</v>
      </c>
    </row>
    <row r="116" spans="1:4" x14ac:dyDescent="0.2">
      <c r="A116" s="38">
        <v>44603</v>
      </c>
      <c r="B116" s="61">
        <v>8.8960653498083728E-2</v>
      </c>
      <c r="C116" s="61">
        <v>2.2874023048990277E-2</v>
      </c>
      <c r="D116" s="65">
        <v>0.21363846339020148</v>
      </c>
    </row>
    <row r="117" spans="1:4" x14ac:dyDescent="0.2">
      <c r="A117" s="38">
        <v>44604</v>
      </c>
      <c r="B117" s="61">
        <v>9.205400341670035E-3</v>
      </c>
      <c r="C117" s="61">
        <v>4.4071464732672122E-2</v>
      </c>
      <c r="D117" s="65">
        <v>-0.17152709334396343</v>
      </c>
    </row>
    <row r="118" spans="1:4" x14ac:dyDescent="0.2">
      <c r="A118" s="38">
        <v>44622</v>
      </c>
      <c r="B118" s="61">
        <v>-0.13504191644849778</v>
      </c>
      <c r="C118" s="61">
        <v>-3.1088424575117502E-2</v>
      </c>
      <c r="D118" s="65">
        <v>-0.24645889776512531</v>
      </c>
    </row>
    <row r="119" spans="1:4" x14ac:dyDescent="0.2">
      <c r="A119" s="38">
        <v>44623</v>
      </c>
      <c r="B119" s="61">
        <v>1.1386129927047925E-2</v>
      </c>
      <c r="C119" s="61">
        <v>1.0316759811309169E-2</v>
      </c>
      <c r="D119" s="65">
        <v>0.27571952789742782</v>
      </c>
    </row>
    <row r="120" spans="1:4" x14ac:dyDescent="0.2">
      <c r="A120" s="38">
        <v>44625</v>
      </c>
      <c r="B120" s="61">
        <v>7.8812940644888405E-2</v>
      </c>
      <c r="C120" s="61">
        <v>2.2782925763190416E-2</v>
      </c>
      <c r="D120" s="65">
        <v>-4.8753109001006045E-2</v>
      </c>
    </row>
    <row r="121" spans="1:4" x14ac:dyDescent="0.2">
      <c r="A121" s="38">
        <v>44626</v>
      </c>
      <c r="B121" s="61">
        <v>2.834471065175628E-2</v>
      </c>
      <c r="C121" s="61">
        <v>-1.0635620693862173E-2</v>
      </c>
      <c r="D121" s="65">
        <v>6.4873086286251075E-2</v>
      </c>
    </row>
    <row r="122" spans="1:4" x14ac:dyDescent="0.2">
      <c r="A122" s="38">
        <v>44628</v>
      </c>
      <c r="B122" s="61">
        <v>-4.6004124829386574E-2</v>
      </c>
      <c r="C122" s="61">
        <v>-3.6994095162361011E-2</v>
      </c>
      <c r="D122" s="65">
        <v>-7.5260582024939349E-2</v>
      </c>
    </row>
    <row r="123" spans="1:4" x14ac:dyDescent="0.2">
      <c r="A123" s="38">
        <v>44630</v>
      </c>
      <c r="B123" s="61">
        <v>-0.1032945932402537</v>
      </c>
      <c r="C123" s="61">
        <v>-7.7312025185441946E-2</v>
      </c>
      <c r="D123" s="65">
        <v>-6.7404864500533901E-2</v>
      </c>
    </row>
    <row r="124" spans="1:4" x14ac:dyDescent="0.2">
      <c r="A124" s="38">
        <v>44631</v>
      </c>
      <c r="B124" s="61">
        <v>0.14262248917089637</v>
      </c>
      <c r="C124" s="61">
        <v>6.0251945967666753E-2</v>
      </c>
      <c r="D124" s="65">
        <v>0.20214396181820449</v>
      </c>
    </row>
    <row r="125" spans="1:4" x14ac:dyDescent="0.2">
      <c r="A125" s="38">
        <v>44652</v>
      </c>
      <c r="B125" s="61">
        <v>-1.9226716609555463E-2</v>
      </c>
      <c r="C125" s="61">
        <v>0.10140396817545332</v>
      </c>
      <c r="D125" s="65">
        <v>-0.29777535895264295</v>
      </c>
    </row>
    <row r="126" spans="1:4" x14ac:dyDescent="0.2">
      <c r="A126" s="38">
        <v>44653</v>
      </c>
      <c r="B126" s="61">
        <v>-8.5602308203976352E-2</v>
      </c>
      <c r="C126" s="61">
        <v>-6.3869425682214667E-2</v>
      </c>
      <c r="D126" s="65">
        <v>-2.70754383268281E-2</v>
      </c>
    </row>
    <row r="127" spans="1:4" x14ac:dyDescent="0.2">
      <c r="A127" s="38">
        <v>44654</v>
      </c>
      <c r="B127" s="61">
        <v>5.2994294664985928E-3</v>
      </c>
      <c r="C127" s="61">
        <v>-1.3210598506179611E-3</v>
      </c>
      <c r="D127" s="65">
        <v>0.22912636174976947</v>
      </c>
    </row>
    <row r="128" spans="1:4" x14ac:dyDescent="0.2">
      <c r="A128" s="38">
        <v>44655</v>
      </c>
      <c r="B128" s="61">
        <v>9.2037484612631143E-2</v>
      </c>
      <c r="C128" s="61">
        <v>5.5113265815889406E-2</v>
      </c>
      <c r="D128" s="65">
        <v>-1.8675184667687417E-2</v>
      </c>
    </row>
    <row r="129" spans="1:4" x14ac:dyDescent="0.2">
      <c r="A129" s="38">
        <v>44656</v>
      </c>
      <c r="B129" s="61">
        <v>-7.1601660524682441E-3</v>
      </c>
      <c r="C129" s="61">
        <v>-2.821004428473068E-2</v>
      </c>
      <c r="D129" s="65">
        <v>-0.12239616708749308</v>
      </c>
    </row>
    <row r="130" spans="1:4" x14ac:dyDescent="0.2">
      <c r="A130" s="38">
        <v>44658</v>
      </c>
      <c r="B130" s="61">
        <v>-0.11874241978112055</v>
      </c>
      <c r="C130" s="61">
        <v>-9.9541056654137872E-2</v>
      </c>
      <c r="D130" s="65">
        <v>8.2063223452312872E-2</v>
      </c>
    </row>
    <row r="131" spans="1:4" x14ac:dyDescent="0.2">
      <c r="A131" s="38">
        <v>44659</v>
      </c>
      <c r="B131" s="61">
        <v>0.10721772927954763</v>
      </c>
      <c r="C131" s="61">
        <v>5.3341070743677783E-2</v>
      </c>
      <c r="D131" s="65">
        <v>-9.4451697420422198E-2</v>
      </c>
    </row>
    <row r="132" spans="1:4" x14ac:dyDescent="0.2">
      <c r="A132" s="38">
        <v>44661</v>
      </c>
      <c r="B132" s="61">
        <v>-7.1346185651472077E-2</v>
      </c>
      <c r="C132" s="61">
        <v>-4.0314947360277714E-2</v>
      </c>
      <c r="D132" s="65">
        <v>0.16296806920482451</v>
      </c>
    </row>
    <row r="133" spans="1:4" x14ac:dyDescent="0.2">
      <c r="A133" s="38">
        <v>44662</v>
      </c>
      <c r="B133" s="61">
        <v>8.3550388871517625E-2</v>
      </c>
      <c r="C133" s="61">
        <v>2.8430820589000424E-2</v>
      </c>
      <c r="D133" s="65">
        <v>0.14617018257211714</v>
      </c>
    </row>
    <row r="134" spans="1:4" x14ac:dyDescent="0.2">
      <c r="A134" s="38">
        <v>44682</v>
      </c>
      <c r="B134" s="61">
        <v>1.4545457109943617E-3</v>
      </c>
      <c r="C134" s="61">
        <v>9.3204227898584624E-2</v>
      </c>
      <c r="D134" s="65">
        <v>-0.40129038035006159</v>
      </c>
    </row>
    <row r="135" spans="1:4" x14ac:dyDescent="0.2">
      <c r="A135" s="38">
        <v>44685</v>
      </c>
      <c r="B135" s="61">
        <v>1.1177607221065299E-2</v>
      </c>
      <c r="C135" s="61">
        <v>-5.0219733602519566E-3</v>
      </c>
      <c r="D135" s="65">
        <v>0.12326908774520558</v>
      </c>
    </row>
    <row r="136" spans="1:4" x14ac:dyDescent="0.2">
      <c r="A136" s="38">
        <v>44686</v>
      </c>
      <c r="B136" s="61">
        <v>-6.2479176668849079E-3</v>
      </c>
      <c r="C136" s="61">
        <v>-2.1917802566729049E-2</v>
      </c>
      <c r="D136" s="65">
        <v>0.14104467491175968</v>
      </c>
    </row>
    <row r="137" spans="1:4" x14ac:dyDescent="0.2">
      <c r="A137" s="38">
        <v>44688</v>
      </c>
      <c r="B137" s="61">
        <v>-0.12821475224425985</v>
      </c>
      <c r="C137" s="61">
        <v>-0.105199097957497</v>
      </c>
      <c r="D137" s="65">
        <v>-8.6552274077641937E-3</v>
      </c>
    </row>
    <row r="138" spans="1:4" x14ac:dyDescent="0.2">
      <c r="A138" s="38">
        <v>44689</v>
      </c>
      <c r="B138" s="61">
        <v>0.1057879152665219</v>
      </c>
      <c r="C138" s="61">
        <v>5.6637022971924425E-2</v>
      </c>
      <c r="D138" s="65">
        <v>-0.18561915941585927</v>
      </c>
    </row>
    <row r="139" spans="1:4" x14ac:dyDescent="0.2">
      <c r="A139" s="38">
        <v>44690</v>
      </c>
      <c r="B139" s="61">
        <v>-4.9525075704860193E-2</v>
      </c>
      <c r="C139" s="61">
        <v>-2.3566472307864777E-2</v>
      </c>
      <c r="D139" s="65">
        <v>0.25864694395095289</v>
      </c>
    </row>
    <row r="140" spans="1:4" x14ac:dyDescent="0.2">
      <c r="A140" s="38">
        <v>44691</v>
      </c>
      <c r="B140" s="61">
        <v>8.0495790682917259E-3</v>
      </c>
      <c r="C140" s="61">
        <v>-5.3409941201216886E-3</v>
      </c>
      <c r="D140" s="65">
        <v>-9.579247710747496E-2</v>
      </c>
    </row>
    <row r="141" spans="1:4" x14ac:dyDescent="0.2">
      <c r="A141" s="38">
        <v>44693</v>
      </c>
      <c r="B141" s="61">
        <v>9.4571720533249123E-2</v>
      </c>
      <c r="C141" s="61">
        <v>7.2146288337526093E-2</v>
      </c>
      <c r="D141" s="65">
        <v>9.2610952417080047E-2</v>
      </c>
    </row>
    <row r="142" spans="1:4" x14ac:dyDescent="0.2">
      <c r="A142" s="38">
        <v>44713</v>
      </c>
      <c r="B142" s="61">
        <v>-6.7397788541496209E-2</v>
      </c>
      <c r="C142" s="61">
        <v>4.453864988943043E-3</v>
      </c>
      <c r="D142" s="65">
        <v>-0.43458783642537191</v>
      </c>
    </row>
    <row r="143" spans="1:4" x14ac:dyDescent="0.2">
      <c r="A143" s="38">
        <v>44716</v>
      </c>
      <c r="B143" s="61">
        <v>5.5829354801482274E-2</v>
      </c>
      <c r="C143" s="61">
        <v>1.7753220774520587E-2</v>
      </c>
      <c r="D143" s="65">
        <v>0.40014794098105</v>
      </c>
    </row>
    <row r="144" spans="1:4" x14ac:dyDescent="0.2">
      <c r="A144" s="38">
        <v>44717</v>
      </c>
      <c r="B144" s="61">
        <v>-3.1812783175164193E-2</v>
      </c>
      <c r="C144" s="61">
        <v>-3.8723647087452955E-2</v>
      </c>
      <c r="D144" s="65">
        <v>-0.12243127444746306</v>
      </c>
    </row>
    <row r="145" spans="1:4" x14ac:dyDescent="0.2">
      <c r="A145" s="38">
        <v>44718</v>
      </c>
      <c r="B145" s="61">
        <v>2.2021365056537654E-2</v>
      </c>
      <c r="C145" s="61">
        <v>9.7141945274532E-5</v>
      </c>
      <c r="D145" s="65">
        <v>0.14530680945123614</v>
      </c>
    </row>
    <row r="146" spans="1:4" x14ac:dyDescent="0.2">
      <c r="A146" s="38">
        <v>44719</v>
      </c>
      <c r="B146" s="61">
        <v>-0.12911950061290489</v>
      </c>
      <c r="C146" s="61">
        <v>-8.8719675148868068E-2</v>
      </c>
      <c r="D146" s="65">
        <v>-0.2475563736440316</v>
      </c>
    </row>
    <row r="147" spans="1:4" x14ac:dyDescent="0.2">
      <c r="A147" s="38">
        <v>44721</v>
      </c>
      <c r="B147" s="61">
        <v>4.3704791786152754E-2</v>
      </c>
      <c r="C147" s="61">
        <v>3.4576128858866892E-2</v>
      </c>
      <c r="D147" s="65">
        <v>0.29436620300525074</v>
      </c>
    </row>
    <row r="148" spans="1:4" x14ac:dyDescent="0.2">
      <c r="A148" s="38">
        <v>44722</v>
      </c>
      <c r="B148" s="61">
        <v>7.9797304096438648E-3</v>
      </c>
      <c r="C148" s="61">
        <v>-1.3192614050626934E-3</v>
      </c>
      <c r="D148" s="65">
        <v>-8.4812708186999611E-2</v>
      </c>
    </row>
    <row r="149" spans="1:4" x14ac:dyDescent="0.2">
      <c r="A149" s="38">
        <v>44724</v>
      </c>
      <c r="B149" s="61">
        <v>9.4108346864651582E-2</v>
      </c>
      <c r="C149" s="61">
        <v>6.7189020859307197E-2</v>
      </c>
      <c r="D149" s="65">
        <v>5.5664756868636658E-2</v>
      </c>
    </row>
    <row r="150" spans="1:4" x14ac:dyDescent="0.2">
      <c r="A150" s="38">
        <v>44743</v>
      </c>
      <c r="B150" s="61">
        <v>-3.625630264454581E-2</v>
      </c>
      <c r="C150" s="61">
        <v>2.1975030739960093E-2</v>
      </c>
      <c r="D150" s="65">
        <v>-0.24188503788864191</v>
      </c>
    </row>
    <row r="151" spans="1:4" x14ac:dyDescent="0.2">
      <c r="A151" s="38">
        <v>44744</v>
      </c>
      <c r="B151" s="61">
        <v>-8.8030361194938747E-2</v>
      </c>
      <c r="C151" s="61">
        <v>-4.7042132270480687E-2</v>
      </c>
      <c r="D151" s="65">
        <v>-3.1324707897758819E-3</v>
      </c>
    </row>
    <row r="152" spans="1:4" x14ac:dyDescent="0.2">
      <c r="A152" s="38">
        <v>44745</v>
      </c>
      <c r="B152" s="61">
        <v>6.7854374001273627E-3</v>
      </c>
      <c r="C152" s="61">
        <v>-1.0205468308800683E-2</v>
      </c>
      <c r="D152" s="65">
        <v>5.1258016095670128E-2</v>
      </c>
    </row>
    <row r="153" spans="1:4" x14ac:dyDescent="0.2">
      <c r="A153" s="38">
        <v>44746</v>
      </c>
      <c r="B153" s="61">
        <v>0.10616323650196052</v>
      </c>
      <c r="C153" s="61">
        <v>5.5837835373756702E-2</v>
      </c>
      <c r="D153" s="65">
        <v>2.3343624730701517E-2</v>
      </c>
    </row>
    <row r="154" spans="1:4" x14ac:dyDescent="0.2">
      <c r="A154" s="38">
        <v>44748</v>
      </c>
      <c r="B154" s="61">
        <v>-3.1662876664177275E-2</v>
      </c>
      <c r="C154" s="61">
        <v>-4.7758155357128934E-2</v>
      </c>
      <c r="D154" s="65">
        <v>0.1094398095807836</v>
      </c>
    </row>
    <row r="155" spans="1:4" x14ac:dyDescent="0.2">
      <c r="A155" s="38">
        <v>44749</v>
      </c>
      <c r="B155" s="61">
        <v>-9.1121241073823675E-2</v>
      </c>
      <c r="C155" s="61">
        <v>-6.5172909221073272E-2</v>
      </c>
      <c r="D155" s="65">
        <v>-0.25159033262684999</v>
      </c>
    </row>
    <row r="156" spans="1:4" x14ac:dyDescent="0.2">
      <c r="A156" s="38">
        <v>44751</v>
      </c>
      <c r="B156" s="61">
        <v>1.0898708157242979E-2</v>
      </c>
      <c r="C156" s="61">
        <v>1.2155068806805074E-2</v>
      </c>
      <c r="D156" s="65">
        <v>0.34137317788843735</v>
      </c>
    </row>
    <row r="157" spans="1:4" x14ac:dyDescent="0.2">
      <c r="A157" s="38">
        <v>44752</v>
      </c>
      <c r="B157" s="61">
        <v>2.4355602386142296E-2</v>
      </c>
      <c r="C157" s="61">
        <v>4.9658791207221878E-3</v>
      </c>
      <c r="D157" s="65">
        <v>5.9619465273953835E-3</v>
      </c>
    </row>
    <row r="158" spans="1:4" x14ac:dyDescent="0.2">
      <c r="A158" s="38">
        <v>44753</v>
      </c>
      <c r="B158" s="61">
        <v>6.6791736806688068E-2</v>
      </c>
      <c r="C158" s="61">
        <v>2.4956575775530974E-2</v>
      </c>
      <c r="D158" s="65">
        <v>-1.8312461342868402E-2</v>
      </c>
    </row>
    <row r="159" spans="1:4" x14ac:dyDescent="0.2">
      <c r="A159" s="38">
        <v>44754</v>
      </c>
      <c r="B159" s="61">
        <v>2.3679388510165253E-2</v>
      </c>
      <c r="C159" s="61">
        <v>4.1762463918943338E-2</v>
      </c>
      <c r="D159" s="65">
        <v>3.6413858349994221E-2</v>
      </c>
    </row>
    <row r="160" spans="1:4" x14ac:dyDescent="0.2">
      <c r="A160" s="38">
        <v>44775</v>
      </c>
      <c r="B160" s="61">
        <v>-0.11270358465491782</v>
      </c>
      <c r="C160" s="61">
        <v>-5.9239495942944786E-3</v>
      </c>
      <c r="D160" s="65">
        <v>-0.35831543528041715</v>
      </c>
    </row>
    <row r="161" spans="1:4" x14ac:dyDescent="0.2">
      <c r="A161" s="38">
        <v>44776</v>
      </c>
      <c r="B161" s="61">
        <v>1.358702243625954E-2</v>
      </c>
      <c r="C161" s="61">
        <v>-2.9140199787490863E-2</v>
      </c>
      <c r="D161" s="65">
        <v>8.7923128554067767E-2</v>
      </c>
    </row>
    <row r="162" spans="1:4" x14ac:dyDescent="0.2">
      <c r="A162" s="38">
        <v>44777</v>
      </c>
      <c r="B162" s="61">
        <v>9.7504652705468348E-2</v>
      </c>
      <c r="C162" s="61">
        <v>6.8873480761558706E-2</v>
      </c>
      <c r="D162" s="65">
        <v>6.382964714048793E-2</v>
      </c>
    </row>
    <row r="163" spans="1:4" x14ac:dyDescent="0.2">
      <c r="A163" s="38">
        <v>44779</v>
      </c>
      <c r="B163" s="61">
        <v>-7.8028226432021064E-2</v>
      </c>
      <c r="C163" s="61">
        <v>-4.8903168682043099E-2</v>
      </c>
      <c r="D163" s="65">
        <v>0.12155791317217858</v>
      </c>
    </row>
    <row r="164" spans="1:4" x14ac:dyDescent="0.2">
      <c r="A164" s="38">
        <v>44780</v>
      </c>
      <c r="B164" s="61">
        <v>-5.1363493889162906E-2</v>
      </c>
      <c r="C164" s="61">
        <v>-6.4243666351416095E-2</v>
      </c>
      <c r="D164" s="65">
        <v>-0.25028997964118976</v>
      </c>
    </row>
    <row r="165" spans="1:4" x14ac:dyDescent="0.2">
      <c r="A165" s="38">
        <v>44781</v>
      </c>
      <c r="B165" s="61">
        <v>0.10265678827671326</v>
      </c>
      <c r="C165" s="61">
        <v>5.003014294936739E-2</v>
      </c>
      <c r="D165" s="65">
        <v>1.8884935545374397E-2</v>
      </c>
    </row>
    <row r="166" spans="1:4" x14ac:dyDescent="0.2">
      <c r="A166" s="38">
        <v>44782</v>
      </c>
      <c r="B166" s="61">
        <v>-7.475295443906918E-2</v>
      </c>
      <c r="C166" s="61">
        <v>-2.4789831229291022E-2</v>
      </c>
      <c r="D166" s="65">
        <v>0.21202590576481103</v>
      </c>
    </row>
    <row r="167" spans="1:4" x14ac:dyDescent="0.2">
      <c r="A167" s="38">
        <v>44784</v>
      </c>
      <c r="B167" s="61">
        <v>9.291068723052108E-2</v>
      </c>
      <c r="C167" s="61">
        <v>1.5962562637196098E-2</v>
      </c>
      <c r="D167" s="65">
        <v>3.7260278838548495E-2</v>
      </c>
    </row>
    <row r="168" spans="1:4" x14ac:dyDescent="0.2">
      <c r="A168" s="38">
        <v>44785</v>
      </c>
      <c r="B168" s="61">
        <v>8.292474722076993E-3</v>
      </c>
      <c r="C168" s="61">
        <v>3.0651029750114286E-2</v>
      </c>
      <c r="D168" s="65">
        <v>3.9879362414922681E-3</v>
      </c>
    </row>
    <row r="169" spans="1:4" x14ac:dyDescent="0.2">
      <c r="A169" s="38">
        <v>44806</v>
      </c>
      <c r="B169" s="61">
        <v>-5.6527662750806763E-2</v>
      </c>
      <c r="C169" s="61">
        <v>1.2849980883149828E-2</v>
      </c>
      <c r="D169" s="65">
        <v>-0.30165103069198085</v>
      </c>
    </row>
    <row r="170" spans="1:4" x14ac:dyDescent="0.2">
      <c r="A170" s="38">
        <v>44807</v>
      </c>
      <c r="B170" s="61">
        <v>-2.1831602716527069E-2</v>
      </c>
      <c r="C170" s="61">
        <v>-3.006936828595724E-2</v>
      </c>
      <c r="D170" s="65">
        <v>0.29124923296153371</v>
      </c>
    </row>
    <row r="171" spans="1:4" x14ac:dyDescent="0.2">
      <c r="A171" s="38">
        <v>44809</v>
      </c>
      <c r="B171" s="61">
        <v>5.2493682349292817E-2</v>
      </c>
      <c r="C171" s="61">
        <v>9.5529769720194852E-3</v>
      </c>
      <c r="D171" s="65">
        <v>-9.8618394213847715E-2</v>
      </c>
    </row>
    <row r="172" spans="1:4" x14ac:dyDescent="0.2">
      <c r="A172" s="38">
        <v>44810</v>
      </c>
      <c r="B172" s="61">
        <v>-7.8072119873862145E-2</v>
      </c>
      <c r="C172" s="61">
        <v>-1.4285553116244991E-2</v>
      </c>
      <c r="D172" s="65">
        <v>-2.9583340898034896E-2</v>
      </c>
    </row>
    <row r="173" spans="1:4" x14ac:dyDescent="0.2">
      <c r="A173" s="38">
        <v>44812</v>
      </c>
      <c r="B173" s="61">
        <v>6.4538521137571164E-2</v>
      </c>
      <c r="C173" s="61">
        <v>1.4377738339282603E-3</v>
      </c>
      <c r="D173" s="65">
        <v>-0.11595663840725362</v>
      </c>
    </row>
    <row r="174" spans="1:4" x14ac:dyDescent="0.2">
      <c r="A174" s="38">
        <v>44813</v>
      </c>
      <c r="B174" s="61">
        <v>-5.8448624113949084E-2</v>
      </c>
      <c r="C174" s="61">
        <v>-1.9477777507903079E-2</v>
      </c>
      <c r="D174" s="65">
        <v>0.22848975314466388</v>
      </c>
    </row>
    <row r="175" spans="1:4" x14ac:dyDescent="0.2">
      <c r="A175" s="38">
        <v>44815</v>
      </c>
      <c r="B175" s="61">
        <v>9.2327137082956506E-2</v>
      </c>
      <c r="C175" s="61">
        <v>1.5129665647137974E-2</v>
      </c>
      <c r="D175" s="65">
        <v>2.3814587711717433E-2</v>
      </c>
    </row>
    <row r="176" spans="1:4" x14ac:dyDescent="0.2">
      <c r="A176" s="38">
        <v>44816</v>
      </c>
      <c r="B176" s="61">
        <v>2.0023844592802708E-3</v>
      </c>
      <c r="C176" s="61">
        <v>3.0102536795999654E-2</v>
      </c>
      <c r="D176" s="65">
        <v>-3.2924739201287065E-2</v>
      </c>
    </row>
    <row r="177" spans="1:4" x14ac:dyDescent="0.2">
      <c r="A177" s="38">
        <v>44835</v>
      </c>
      <c r="B177" s="61">
        <v>-1.5938887596514115E-2</v>
      </c>
      <c r="C177" s="61">
        <v>3.1912014013502417E-2</v>
      </c>
      <c r="D177" s="65">
        <v>-0.1973763371593199</v>
      </c>
    </row>
    <row r="178" spans="1:4" x14ac:dyDescent="0.2">
      <c r="A178" s="38">
        <v>44836</v>
      </c>
      <c r="B178" s="61">
        <v>-2.4891044975187578E-2</v>
      </c>
      <c r="C178" s="61">
        <v>-2.1526931332551669E-2</v>
      </c>
      <c r="D178" s="65">
        <v>-5.9345928807291878E-2</v>
      </c>
    </row>
    <row r="179" spans="1:4" x14ac:dyDescent="0.2">
      <c r="A179" s="38">
        <v>44837</v>
      </c>
      <c r="B179" s="61">
        <v>-1.0373123134475564E-2</v>
      </c>
      <c r="C179" s="61">
        <v>-2.1874333436360853E-2</v>
      </c>
      <c r="D179" s="65">
        <v>0.25692049199973344</v>
      </c>
    </row>
    <row r="180" spans="1:4" x14ac:dyDescent="0.2">
      <c r="A180" s="38">
        <v>44839</v>
      </c>
      <c r="B180" s="61">
        <v>1.9460502936537942E-2</v>
      </c>
      <c r="C180" s="61">
        <v>-1.1225614989983996E-2</v>
      </c>
      <c r="D180" s="65">
        <v>-7.6946941779524741E-2</v>
      </c>
    </row>
    <row r="181" spans="1:4" x14ac:dyDescent="0.2">
      <c r="A181" s="38">
        <v>44840</v>
      </c>
      <c r="B181" s="61">
        <v>-8.107568939307408E-2</v>
      </c>
      <c r="C181" s="61">
        <v>-1.7049443252225845E-2</v>
      </c>
      <c r="D181" s="65">
        <v>-8.7389034944431038E-2</v>
      </c>
    </row>
    <row r="182" spans="1:4" x14ac:dyDescent="0.2">
      <c r="A182" s="38">
        <v>44842</v>
      </c>
      <c r="B182" s="61">
        <v>7.4168903179819265E-2</v>
      </c>
      <c r="C182" s="61">
        <v>8.7183759052368668E-3</v>
      </c>
      <c r="D182" s="65">
        <v>0.16481569433237575</v>
      </c>
    </row>
    <row r="183" spans="1:4" x14ac:dyDescent="0.2">
      <c r="A183" s="38">
        <v>44844</v>
      </c>
      <c r="B183" s="61">
        <v>-6.1664766539846913E-2</v>
      </c>
      <c r="C183" s="61">
        <v>-4.7576777321077741E-2</v>
      </c>
      <c r="D183" s="65">
        <v>-1.7868425159691101E-2</v>
      </c>
    </row>
    <row r="184" spans="1:4" x14ac:dyDescent="0.2">
      <c r="A184" s="38">
        <v>44845</v>
      </c>
      <c r="B184" s="61">
        <v>9.1319690279038274E-2</v>
      </c>
      <c r="C184" s="61">
        <v>4.3464051468423789E-2</v>
      </c>
      <c r="D184" s="65">
        <v>7.0916572688077689E-2</v>
      </c>
    </row>
    <row r="185" spans="1:4" x14ac:dyDescent="0.2">
      <c r="A185" s="38">
        <v>44866</v>
      </c>
      <c r="B185" s="61">
        <v>-2.2158340988638822E-2</v>
      </c>
      <c r="C185" s="61">
        <v>5.9387244762343187E-2</v>
      </c>
      <c r="D185" s="65">
        <v>-0.22902503876281538</v>
      </c>
    </row>
    <row r="186" spans="1:4" x14ac:dyDescent="0.2">
      <c r="A186" s="38">
        <v>44867</v>
      </c>
      <c r="B186" s="61">
        <v>-3.2053065993082906E-2</v>
      </c>
      <c r="C186" s="61">
        <v>-2.3660344923321419E-2</v>
      </c>
      <c r="D186" s="65">
        <v>-7.3730694901422034E-2</v>
      </c>
    </row>
    <row r="187" spans="1:4" x14ac:dyDescent="0.2">
      <c r="A187" s="38">
        <v>44868</v>
      </c>
      <c r="B187" s="61">
        <v>8.3868525754453183E-3</v>
      </c>
      <c r="C187" s="61">
        <v>-2.1526085188132128E-2</v>
      </c>
      <c r="D187" s="65">
        <v>6.6980342080627003E-2</v>
      </c>
    </row>
    <row r="188" spans="1:4" x14ac:dyDescent="0.2">
      <c r="A188" s="38">
        <v>44869</v>
      </c>
      <c r="B188" s="61">
        <v>7.2755823614161066E-2</v>
      </c>
      <c r="C188" s="61">
        <v>5.7972901064664135E-2</v>
      </c>
      <c r="D188" s="65">
        <v>0.26753931019028149</v>
      </c>
    </row>
    <row r="189" spans="1:4" x14ac:dyDescent="0.2">
      <c r="A189" s="38">
        <v>44870</v>
      </c>
      <c r="B189" s="61">
        <v>-5.1549393991995845E-2</v>
      </c>
      <c r="C189" s="61">
        <v>-5.7817185231588367E-2</v>
      </c>
      <c r="D189" s="65">
        <v>-0.15833649210568498</v>
      </c>
    </row>
    <row r="190" spans="1:4" x14ac:dyDescent="0.2">
      <c r="A190" s="38">
        <v>44872</v>
      </c>
      <c r="B190" s="61">
        <v>-9.2408276776833262E-2</v>
      </c>
      <c r="C190" s="61">
        <v>-6.7707625567407781E-2</v>
      </c>
      <c r="D190" s="65">
        <v>-0.19895529015969596</v>
      </c>
    </row>
    <row r="191" spans="1:4" x14ac:dyDescent="0.2">
      <c r="A191" s="38">
        <v>44873</v>
      </c>
      <c r="B191" s="61">
        <v>8.5885225380714247E-2</v>
      </c>
      <c r="C191" s="61">
        <v>6.8598985799603621E-2</v>
      </c>
      <c r="D191" s="65">
        <v>0.28791560993149345</v>
      </c>
    </row>
    <row r="192" spans="1:4" x14ac:dyDescent="0.2">
      <c r="A192" s="38">
        <v>44875</v>
      </c>
      <c r="B192" s="61">
        <v>-7.0339482130216846E-2</v>
      </c>
      <c r="C192" s="61">
        <v>-6.2137220456895126E-2</v>
      </c>
      <c r="D192" s="65">
        <v>-3.9163034169527239E-2</v>
      </c>
    </row>
    <row r="193" spans="1:4" x14ac:dyDescent="0.2">
      <c r="A193" s="38">
        <v>44876</v>
      </c>
      <c r="B193" s="61">
        <v>0.11835025064606648</v>
      </c>
      <c r="C193" s="61">
        <v>7.4365920178625464E-2</v>
      </c>
      <c r="D193" s="65">
        <v>8.133498355388008E-2</v>
      </c>
    </row>
    <row r="194" spans="1:4" x14ac:dyDescent="0.2">
      <c r="A194" s="38">
        <v>44896</v>
      </c>
      <c r="B194" s="61">
        <v>-4.0798367542971406E-2</v>
      </c>
      <c r="C194" s="61">
        <v>3.8492376107991673E-2</v>
      </c>
      <c r="D194" s="65">
        <v>-0.34863381827007367</v>
      </c>
    </row>
    <row r="195" spans="1:4" x14ac:dyDescent="0.2">
      <c r="A195" s="38">
        <v>44899</v>
      </c>
      <c r="B195" s="61">
        <v>4.9268209255374437E-2</v>
      </c>
      <c r="C195" s="61">
        <v>2.0278126052409411E-3</v>
      </c>
      <c r="D195" s="65">
        <v>0.37680866100894483</v>
      </c>
    </row>
    <row r="196" spans="1:4" x14ac:dyDescent="0.2">
      <c r="A196" s="38">
        <v>44900</v>
      </c>
      <c r="B196" s="61">
        <v>-4.367255336484234E-2</v>
      </c>
      <c r="C196" s="61">
        <v>-7.1304944699620038E-2</v>
      </c>
      <c r="D196" s="65">
        <v>-0.16407359064419705</v>
      </c>
    </row>
    <row r="197" spans="1:4" x14ac:dyDescent="0.2">
      <c r="A197" s="38">
        <v>44902</v>
      </c>
      <c r="B197" s="61">
        <v>-8.7091476312833455E-2</v>
      </c>
      <c r="C197" s="61">
        <v>-4.9422117159327469E-2</v>
      </c>
      <c r="D197" s="65">
        <v>-0.20406085254552736</v>
      </c>
    </row>
    <row r="198" spans="1:4" x14ac:dyDescent="0.2">
      <c r="A198" s="38">
        <v>44903</v>
      </c>
      <c r="B198" s="61">
        <v>6.9213574105309233E-2</v>
      </c>
      <c r="C198" s="61">
        <v>6.2518522183755754E-2</v>
      </c>
      <c r="D198" s="65">
        <v>8.0441709808833736E-2</v>
      </c>
    </row>
    <row r="199" spans="1:4" x14ac:dyDescent="0.2">
      <c r="A199" s="38">
        <v>44904</v>
      </c>
      <c r="B199" s="61">
        <v>-4.1303806141235751E-2</v>
      </c>
      <c r="C199" s="61">
        <v>-9.7164442359258668E-3</v>
      </c>
      <c r="D199" s="65">
        <v>0.29962834827653534</v>
      </c>
    </row>
    <row r="200" spans="1:4" x14ac:dyDescent="0.2">
      <c r="A200" s="38">
        <v>44905</v>
      </c>
      <c r="B200" s="61">
        <v>1.0385833732147027E-4</v>
      </c>
      <c r="C200" s="61">
        <v>-4.658497301091119E-2</v>
      </c>
      <c r="D200" s="65">
        <v>-0.15173907277206022</v>
      </c>
    </row>
    <row r="201" spans="1:4" x14ac:dyDescent="0.2">
      <c r="A201" s="38">
        <v>44907</v>
      </c>
      <c r="B201" s="61">
        <v>9.0303283693652814E-2</v>
      </c>
      <c r="C201" s="61">
        <v>7.7169953331092889E-2</v>
      </c>
      <c r="D201" s="65">
        <v>-2.6813778184686179E-3</v>
      </c>
    </row>
    <row r="202" spans="1:4" x14ac:dyDescent="0.2">
      <c r="A202" s="38">
        <v>44928</v>
      </c>
      <c r="B202" s="61">
        <v>4.4175318302506796E-2</v>
      </c>
      <c r="C202" s="61">
        <v>4.3718864057792996E-2</v>
      </c>
      <c r="D202" s="65">
        <v>8.690550477326979E-2</v>
      </c>
    </row>
    <row r="203" spans="1:4" x14ac:dyDescent="0.2">
      <c r="A203" s="38">
        <v>44929</v>
      </c>
      <c r="B203" s="61">
        <v>-0.10621830010379228</v>
      </c>
      <c r="C203" s="61">
        <v>-3.3907527350547625E-2</v>
      </c>
      <c r="D203" s="65">
        <v>6.1043627524110251E-2</v>
      </c>
    </row>
    <row r="204" spans="1:4" x14ac:dyDescent="0.2">
      <c r="A204" s="38">
        <v>44931</v>
      </c>
      <c r="B204" s="61">
        <v>1.3935761144824305E-2</v>
      </c>
      <c r="C204" s="61">
        <v>1.1380742873919393E-2</v>
      </c>
      <c r="D204" s="65">
        <v>-4.8577926137349535E-2</v>
      </c>
    </row>
    <row r="205" spans="1:4" x14ac:dyDescent="0.2">
      <c r="A205" s="38">
        <v>44932</v>
      </c>
      <c r="B205" s="61">
        <v>-3.691354000685295E-2</v>
      </c>
      <c r="C205" s="61">
        <v>-3.0988121980902342E-2</v>
      </c>
      <c r="D205" s="65">
        <v>3.0977191540722433E-2</v>
      </c>
    </row>
    <row r="206" spans="1:4" x14ac:dyDescent="0.2">
      <c r="A206" s="38">
        <v>44934</v>
      </c>
      <c r="B206" s="61">
        <v>8.937600329834279E-2</v>
      </c>
      <c r="C206" s="61">
        <v>4.6693232642679335E-2</v>
      </c>
      <c r="D206" s="65">
        <v>0.22025199490029229</v>
      </c>
    </row>
    <row r="207" spans="1:4" x14ac:dyDescent="0.2">
      <c r="A207" s="38">
        <v>44935</v>
      </c>
      <c r="B207" s="61">
        <v>-4.3443124682865097E-2</v>
      </c>
      <c r="C207" s="61">
        <v>-2.3410669253213858E-2</v>
      </c>
      <c r="D207" s="65">
        <v>0.21054392255767448</v>
      </c>
    </row>
    <row r="208" spans="1:4" x14ac:dyDescent="0.2">
      <c r="A208" s="38">
        <v>44937</v>
      </c>
      <c r="B208" s="61">
        <v>-4.5209999459715385E-2</v>
      </c>
      <c r="C208" s="61">
        <v>-6.2358155723785627E-2</v>
      </c>
      <c r="D208" s="65">
        <v>-0.16998947792519584</v>
      </c>
    </row>
    <row r="209" spans="1:4" x14ac:dyDescent="0.2">
      <c r="A209" s="38">
        <v>44938</v>
      </c>
      <c r="B209" s="61">
        <v>7.2846281985798803E-2</v>
      </c>
      <c r="C209" s="61">
        <v>3.3773831466611927E-2</v>
      </c>
      <c r="D209" s="65">
        <v>-0.44264175270430184</v>
      </c>
    </row>
    <row r="210" spans="1:4" x14ac:dyDescent="0.2">
      <c r="A210" s="38">
        <v>44959</v>
      </c>
      <c r="B210" s="61">
        <v>5.1806647578615382E-2</v>
      </c>
      <c r="C210" s="61">
        <v>6.0135498153229112E-2</v>
      </c>
      <c r="D210" s="65">
        <v>0.13464830598978328</v>
      </c>
    </row>
    <row r="211" spans="1:4" x14ac:dyDescent="0.2">
      <c r="A211" s="38">
        <v>44960</v>
      </c>
      <c r="B211" s="61">
        <v>-0.1225904352785729</v>
      </c>
      <c r="C211" s="61">
        <v>-3.4702473145532001E-2</v>
      </c>
      <c r="D211" s="65">
        <v>9.7641774753066041E-2</v>
      </c>
    </row>
    <row r="212" spans="1:4" x14ac:dyDescent="0.2">
      <c r="A212" s="38">
        <v>44962</v>
      </c>
      <c r="B212" s="61">
        <v>3.0737318597040063E-2</v>
      </c>
      <c r="C212" s="61">
        <v>1.6525742599226157E-3</v>
      </c>
      <c r="D212" s="65">
        <v>-0.10214908338000081</v>
      </c>
    </row>
    <row r="213" spans="1:4" x14ac:dyDescent="0.2">
      <c r="A213" s="38">
        <v>44963</v>
      </c>
      <c r="B213" s="61">
        <v>-3.2386973574716212E-2</v>
      </c>
      <c r="C213" s="61">
        <v>-1.6971786381154708E-2</v>
      </c>
      <c r="D213" s="65">
        <v>0.10586102452354697</v>
      </c>
    </row>
    <row r="214" spans="1:4" x14ac:dyDescent="0.2">
      <c r="A214" s="38">
        <v>44965</v>
      </c>
      <c r="B214" s="61">
        <v>6.5402351828910382E-2</v>
      </c>
      <c r="C214" s="61">
        <v>2.8899160717081724E-2</v>
      </c>
      <c r="D214" s="65">
        <v>0.28956602201830972</v>
      </c>
    </row>
    <row r="215" spans="1:4" x14ac:dyDescent="0.2">
      <c r="A215" s="38">
        <v>44967</v>
      </c>
      <c r="B215" s="61">
        <v>-3.5516004713544755E-2</v>
      </c>
      <c r="C215" s="61">
        <v>-4.4684173513985043E-2</v>
      </c>
      <c r="D215" s="65">
        <v>4.6589672381950983E-2</v>
      </c>
    </row>
    <row r="216" spans="1:4" x14ac:dyDescent="0.2">
      <c r="A216" s="38">
        <v>44968</v>
      </c>
      <c r="B216" s="61">
        <v>-1.4323424220704182E-2</v>
      </c>
      <c r="C216" s="61">
        <v>-1.9163861891109687E-2</v>
      </c>
      <c r="D216" s="65">
        <v>-0.44687201048211572</v>
      </c>
    </row>
    <row r="217" spans="1:4" x14ac:dyDescent="0.2">
      <c r="A217" s="38">
        <v>44986</v>
      </c>
      <c r="B217" s="61">
        <v>2.6269808208510045E-2</v>
      </c>
      <c r="C217" s="61">
        <v>6.7168150604636143E-3</v>
      </c>
      <c r="D217" s="65">
        <v>-4.1589110906131627E-2</v>
      </c>
    </row>
    <row r="218" spans="1:4" x14ac:dyDescent="0.2">
      <c r="A218" s="38">
        <v>44987</v>
      </c>
      <c r="B218" s="61">
        <v>9.5265196560575596E-2</v>
      </c>
      <c r="C218" s="61">
        <v>8.4425088395663039E-2</v>
      </c>
      <c r="D218" s="65">
        <v>3.5604339810197595E-2</v>
      </c>
    </row>
    <row r="219" spans="1:4" x14ac:dyDescent="0.2">
      <c r="A219" s="38">
        <v>44988</v>
      </c>
      <c r="B219" s="61">
        <v>-0.12846744154473047</v>
      </c>
      <c r="C219" s="61">
        <v>-3.6994590377712543E-2</v>
      </c>
      <c r="D219" s="65">
        <v>4.2663327262662379E-2</v>
      </c>
    </row>
    <row r="220" spans="1:4" x14ac:dyDescent="0.2">
      <c r="A220" s="38">
        <v>44989</v>
      </c>
      <c r="B220" s="61">
        <v>1.543021173615523E-2</v>
      </c>
      <c r="C220" s="61">
        <v>-8.3548664068414935E-3</v>
      </c>
      <c r="D220" s="65">
        <v>1.3657726280701679E-2</v>
      </c>
    </row>
    <row r="221" spans="1:4" x14ac:dyDescent="0.2">
      <c r="A221" s="38">
        <v>44990</v>
      </c>
      <c r="B221" s="61">
        <v>-9.9211180230924043E-3</v>
      </c>
      <c r="C221" s="61">
        <v>-3.5505293741292287E-3</v>
      </c>
      <c r="D221" s="65">
        <v>-4.7140189155700125E-2</v>
      </c>
    </row>
    <row r="222" spans="1:4" x14ac:dyDescent="0.2">
      <c r="A222" s="38">
        <v>44992</v>
      </c>
      <c r="B222" s="61">
        <v>2.6603988333578195E-2</v>
      </c>
      <c r="C222" s="61">
        <v>6.7435434007132996E-3</v>
      </c>
      <c r="D222" s="65">
        <v>0.1206923769578867</v>
      </c>
    </row>
    <row r="223" spans="1:4" x14ac:dyDescent="0.2">
      <c r="A223" s="38">
        <v>44993</v>
      </c>
      <c r="B223" s="61">
        <v>1.4946197598939805E-2</v>
      </c>
      <c r="C223" s="61">
        <v>9.0124117684757532E-3</v>
      </c>
      <c r="D223" s="65">
        <v>0.29660899105866756</v>
      </c>
    </row>
    <row r="224" spans="1:4" x14ac:dyDescent="0.2">
      <c r="A224" s="38">
        <v>44995</v>
      </c>
      <c r="B224" s="61">
        <v>-2.7407107476443641E-2</v>
      </c>
      <c r="C224" s="61">
        <v>-5.1684236768847397E-2</v>
      </c>
      <c r="D224" s="65">
        <v>-3.7153323918831173E-2</v>
      </c>
    </row>
    <row r="225" spans="1:4" x14ac:dyDescent="0.2">
      <c r="A225" s="38">
        <v>44996</v>
      </c>
      <c r="B225" s="61">
        <v>2.4045698390855715E-3</v>
      </c>
      <c r="C225" s="61">
        <v>4.9994357665222788E-3</v>
      </c>
      <c r="D225" s="65">
        <v>-0.39225388864771576</v>
      </c>
    </row>
    <row r="226" spans="1:4" x14ac:dyDescent="0.2">
      <c r="A226" s="38">
        <v>45017</v>
      </c>
      <c r="B226" s="61">
        <v>3.1617347749114871E-2</v>
      </c>
      <c r="C226" s="61">
        <v>1.1540726775547057E-2</v>
      </c>
      <c r="D226" s="65">
        <v>-4.6786436695791835E-3</v>
      </c>
    </row>
    <row r="227" spans="1:4" x14ac:dyDescent="0.2">
      <c r="A227" s="38">
        <v>45020</v>
      </c>
      <c r="B227" s="61">
        <v>-4.116947909907287E-2</v>
      </c>
      <c r="C227" s="61">
        <v>2.4736836896057227E-2</v>
      </c>
      <c r="D227" s="65">
        <v>7.039465273905543E-2</v>
      </c>
    </row>
    <row r="228" spans="1:4" x14ac:dyDescent="0.2">
      <c r="A228" s="38">
        <v>45021</v>
      </c>
      <c r="B228" s="61">
        <v>-3.3072748274022311E-2</v>
      </c>
      <c r="C228" s="61">
        <v>-5.9463343393509312E-3</v>
      </c>
      <c r="D228" s="65">
        <v>2.9216004011728088E-2</v>
      </c>
    </row>
    <row r="229" spans="1:4" x14ac:dyDescent="0.2">
      <c r="A229" s="38">
        <v>45023</v>
      </c>
      <c r="B229" s="61">
        <v>6.5869089173268128E-2</v>
      </c>
      <c r="C229" s="61">
        <v>1.1871256942423046E-2</v>
      </c>
      <c r="D229" s="65">
        <v>0.27499035332007338</v>
      </c>
    </row>
    <row r="230" spans="1:4" x14ac:dyDescent="0.2">
      <c r="A230" s="38">
        <v>45024</v>
      </c>
      <c r="B230" s="61">
        <v>-4.0166598210108996E-3</v>
      </c>
      <c r="C230" s="61">
        <v>6.3406195597506205E-3</v>
      </c>
      <c r="D230" s="65">
        <v>8.6585935148164039E-3</v>
      </c>
    </row>
    <row r="231" spans="1:4" x14ac:dyDescent="0.2">
      <c r="A231" s="38">
        <v>45025</v>
      </c>
      <c r="B231" s="61">
        <v>1.3733570924525566E-3</v>
      </c>
      <c r="C231" s="61">
        <v>-8.8772958759747369E-4</v>
      </c>
      <c r="D231" s="65">
        <v>-0.27587635225574958</v>
      </c>
    </row>
    <row r="232" spans="1:4" x14ac:dyDescent="0.2">
      <c r="A232" s="38">
        <v>45026</v>
      </c>
      <c r="B232" s="61">
        <v>-3.9185423118203326E-2</v>
      </c>
      <c r="C232" s="61">
        <v>-6.0346267927801289E-2</v>
      </c>
      <c r="D232" s="65">
        <v>-5.9788304782407778E-2</v>
      </c>
    </row>
    <row r="233" spans="1:4" x14ac:dyDescent="0.2">
      <c r="A233" s="38">
        <v>45028</v>
      </c>
      <c r="B233" s="61">
        <v>6.9217130160076218E-2</v>
      </c>
      <c r="C233" s="61">
        <v>3.3467507824632182E-2</v>
      </c>
      <c r="D233" s="65">
        <v>-6.0834924462743967E-2</v>
      </c>
    </row>
    <row r="234" spans="1:4" x14ac:dyDescent="0.2">
      <c r="A234" s="38">
        <v>45047</v>
      </c>
      <c r="B234" s="61">
        <v>-1.7271586508660709E-2</v>
      </c>
      <c r="C234" s="61">
        <v>-8.6127834482725447E-3</v>
      </c>
      <c r="D234" s="65">
        <v>3.9908477458519775E-2</v>
      </c>
    </row>
    <row r="235" spans="1:4" x14ac:dyDescent="0.2">
      <c r="A235" s="38">
        <v>45050</v>
      </c>
      <c r="B235" s="61">
        <v>-4.2105241067547976E-2</v>
      </c>
      <c r="C235" s="61">
        <v>2.4279554705972067E-2</v>
      </c>
      <c r="D235" s="65">
        <v>4.6669529214078125E-2</v>
      </c>
    </row>
    <row r="236" spans="1:4" x14ac:dyDescent="0.2">
      <c r="A236" s="38">
        <v>45051</v>
      </c>
      <c r="B236" s="61">
        <v>-3.0024285082366861E-2</v>
      </c>
      <c r="C236" s="61">
        <v>-2.3794383580694614E-3</v>
      </c>
      <c r="D236" s="65">
        <v>0.10725334775198103</v>
      </c>
    </row>
    <row r="237" spans="1:4" x14ac:dyDescent="0.2">
      <c r="A237" s="38">
        <v>45052</v>
      </c>
      <c r="B237" s="61">
        <v>1.4150935926076835E-2</v>
      </c>
      <c r="C237" s="61">
        <v>-5.1259672921956552E-4</v>
      </c>
      <c r="D237" s="65">
        <v>0.18948504306320024</v>
      </c>
    </row>
    <row r="238" spans="1:4" x14ac:dyDescent="0.2">
      <c r="A238" s="38">
        <v>45053</v>
      </c>
      <c r="B238" s="61">
        <v>4.2961243156885216E-2</v>
      </c>
      <c r="C238" s="61">
        <v>5.1003946222181471E-3</v>
      </c>
      <c r="D238" s="65">
        <v>-4.644494530025111E-2</v>
      </c>
    </row>
    <row r="239" spans="1:4" x14ac:dyDescent="0.2">
      <c r="A239" s="38">
        <v>45055</v>
      </c>
      <c r="B239" s="61">
        <v>4.3137321794468634E-3</v>
      </c>
      <c r="C239" s="61">
        <v>8.3885853155079744E-3</v>
      </c>
      <c r="D239" s="65">
        <v>-0.24778983436254051</v>
      </c>
    </row>
    <row r="240" spans="1:4" x14ac:dyDescent="0.2">
      <c r="A240" s="38">
        <v>45056</v>
      </c>
      <c r="B240" s="61">
        <v>-3.2209543816393398E-2</v>
      </c>
      <c r="C240" s="61">
        <v>-5.4621084480225221E-2</v>
      </c>
      <c r="D240" s="65">
        <v>-8.9948224283469214E-2</v>
      </c>
    </row>
    <row r="241" spans="1:4" x14ac:dyDescent="0.2">
      <c r="A241" s="38">
        <v>45058</v>
      </c>
      <c r="B241" s="61">
        <v>5.6276814775630631E-2</v>
      </c>
      <c r="C241" s="61">
        <v>1.9461403090869932E-2</v>
      </c>
      <c r="D241" s="65">
        <v>-8.8328271112112541E-2</v>
      </c>
    </row>
    <row r="242" spans="1:4" x14ac:dyDescent="0.2">
      <c r="A242" s="38">
        <v>45078</v>
      </c>
      <c r="B242" s="61">
        <v>-1.4719588482866688E-2</v>
      </c>
      <c r="C242" s="61">
        <v>6.7743287182423168E-3</v>
      </c>
      <c r="D242" s="65">
        <v>0.11746508014498641</v>
      </c>
    </row>
    <row r="243" spans="1:4" x14ac:dyDescent="0.2">
      <c r="A243" s="38">
        <v>45079</v>
      </c>
      <c r="B243" s="61">
        <v>7.0800373108741071E-2</v>
      </c>
      <c r="C243" s="61">
        <v>5.8643563787436327E-2</v>
      </c>
      <c r="D243" s="65">
        <v>5.7347644832708815E-2</v>
      </c>
    </row>
    <row r="244" spans="1:4" x14ac:dyDescent="0.2">
      <c r="A244" s="38">
        <v>45080</v>
      </c>
      <c r="B244" s="61">
        <v>-0.11620414731665538</v>
      </c>
      <c r="C244" s="61">
        <v>-2.8305045480276327E-2</v>
      </c>
      <c r="D244" s="65">
        <v>6.6336165988826551E-2</v>
      </c>
    </row>
    <row r="245" spans="1:4" x14ac:dyDescent="0.2">
      <c r="A245" s="38">
        <v>45081</v>
      </c>
      <c r="B245" s="61">
        <v>4.1495935258335833E-3</v>
      </c>
      <c r="C245" s="61">
        <v>-1.5068062592264555E-2</v>
      </c>
      <c r="D245" s="65">
        <v>8.0128153930098256E-2</v>
      </c>
    </row>
    <row r="246" spans="1:4" x14ac:dyDescent="0.2">
      <c r="A246" s="38">
        <v>45083</v>
      </c>
      <c r="B246" s="61">
        <v>-2.5056278345147204E-2</v>
      </c>
      <c r="C246" s="61">
        <v>-1.2461307286305484E-2</v>
      </c>
      <c r="D246" s="65">
        <v>0.12986665928986049</v>
      </c>
    </row>
    <row r="247" spans="1:4" x14ac:dyDescent="0.2">
      <c r="A247" s="38">
        <v>45084</v>
      </c>
      <c r="B247" s="61">
        <v>3.9296390615971642E-2</v>
      </c>
      <c r="C247" s="61">
        <v>4.7295967265419351E-3</v>
      </c>
      <c r="D247" s="65">
        <v>2.8610088499046966E-2</v>
      </c>
    </row>
    <row r="248" spans="1:4" x14ac:dyDescent="0.2">
      <c r="A248" s="38">
        <v>45086</v>
      </c>
      <c r="B248" s="61">
        <v>1.0696348391091978E-2</v>
      </c>
      <c r="C248" s="61">
        <v>1.2995571402613855E-2</v>
      </c>
      <c r="D248" s="65">
        <v>4.3794795794430103E-2</v>
      </c>
    </row>
    <row r="249" spans="1:4" x14ac:dyDescent="0.2">
      <c r="A249" s="38">
        <v>45087</v>
      </c>
      <c r="B249" s="61">
        <v>-1.45872097869214E-2</v>
      </c>
      <c r="C249" s="61">
        <v>-4.2634506402123545E-2</v>
      </c>
      <c r="D249" s="65">
        <v>-0.44239325874418617</v>
      </c>
    </row>
    <row r="250" spans="1:4" x14ac:dyDescent="0.2">
      <c r="A250" s="38">
        <v>45088</v>
      </c>
      <c r="B250" s="61">
        <v>3.7912845971411315E-3</v>
      </c>
      <c r="C250" s="61">
        <v>6.1928578894566658E-3</v>
      </c>
      <c r="D250" s="65">
        <v>1.8704755698978857E-2</v>
      </c>
    </row>
    <row r="251" spans="1:4" x14ac:dyDescent="0.2">
      <c r="A251" s="38">
        <v>45089</v>
      </c>
      <c r="B251" s="61">
        <v>5.7280117469632914E-2</v>
      </c>
      <c r="C251" s="61">
        <v>2.5537865514503471E-2</v>
      </c>
      <c r="D251" s="65">
        <v>-1.8498743690635436E-2</v>
      </c>
    </row>
    <row r="252" spans="1:4" x14ac:dyDescent="0.2">
      <c r="A252" s="38">
        <v>45109</v>
      </c>
      <c r="B252" s="61">
        <v>3.6562418183264306E-2</v>
      </c>
      <c r="C252" s="61">
        <v>4.4373020839432266E-2</v>
      </c>
      <c r="D252" s="65">
        <v>0.14193700366920015</v>
      </c>
    </row>
    <row r="253" spans="1:4" x14ac:dyDescent="0.2">
      <c r="A253" s="38">
        <v>45110</v>
      </c>
      <c r="B253" s="61">
        <v>-0.10909468763079029</v>
      </c>
      <c r="C253" s="61">
        <v>-1.8751221953724674E-2</v>
      </c>
      <c r="D253" s="65">
        <v>6.9678380943730092E-2</v>
      </c>
    </row>
    <row r="254" spans="1:4" x14ac:dyDescent="0.2">
      <c r="A254" s="38">
        <v>45113</v>
      </c>
      <c r="B254" s="61">
        <v>-3.299543883749502E-2</v>
      </c>
      <c r="C254" s="61">
        <v>-3.407152879941739E-2</v>
      </c>
      <c r="D254" s="65">
        <v>4.0140925478848601E-2</v>
      </c>
    </row>
    <row r="255" spans="1:4" x14ac:dyDescent="0.2">
      <c r="A255" s="38">
        <v>45114</v>
      </c>
      <c r="B255" s="61">
        <v>3.1275051832186922E-2</v>
      </c>
      <c r="C255" s="61">
        <v>-1.0691965728904471E-2</v>
      </c>
      <c r="D255" s="65">
        <v>0.14117593588603</v>
      </c>
    </row>
    <row r="256" spans="1:4" x14ac:dyDescent="0.2">
      <c r="A256" s="38">
        <v>45115</v>
      </c>
      <c r="B256" s="61">
        <v>3.1112291049456415E-2</v>
      </c>
      <c r="C256" s="61">
        <v>3.7199007289205714E-2</v>
      </c>
      <c r="D256" s="65">
        <v>3.4141625858348748E-2</v>
      </c>
    </row>
    <row r="257" spans="1:4" x14ac:dyDescent="0.2">
      <c r="A257" s="38">
        <v>45116</v>
      </c>
      <c r="B257" s="61">
        <v>-9.3712153132514079E-3</v>
      </c>
      <c r="C257" s="61">
        <v>-1.9088713747864399E-2</v>
      </c>
      <c r="D257" s="65">
        <v>-0.34415981674562129</v>
      </c>
    </row>
    <row r="258" spans="1:4" x14ac:dyDescent="0.2">
      <c r="A258" s="38">
        <v>45118</v>
      </c>
      <c r="B258" s="61">
        <v>-8.8597463711385469E-3</v>
      </c>
      <c r="C258" s="61">
        <v>-2.7411757238254893E-2</v>
      </c>
      <c r="D258" s="65">
        <v>-7.3312858546534285E-2</v>
      </c>
    </row>
    <row r="259" spans="1:4" x14ac:dyDescent="0.2">
      <c r="A259" s="38">
        <v>45119</v>
      </c>
      <c r="B259" s="61">
        <v>6.0712844396179071E-2</v>
      </c>
      <c r="C259" s="61">
        <v>2.7732442112345879E-2</v>
      </c>
      <c r="D259" s="65">
        <v>-9.7641670087030077E-3</v>
      </c>
    </row>
    <row r="260" spans="1:4" x14ac:dyDescent="0.2">
      <c r="A260" s="38">
        <v>45140</v>
      </c>
      <c r="B260" s="61">
        <v>3.7402208100442612E-2</v>
      </c>
      <c r="C260" s="61">
        <v>4.8542522161575723E-2</v>
      </c>
      <c r="D260" s="65">
        <v>0.10762863259740696</v>
      </c>
    </row>
    <row r="261" spans="1:4" x14ac:dyDescent="0.2">
      <c r="A261" s="38">
        <v>45141</v>
      </c>
      <c r="B261" s="61">
        <v>-0.11424280857415219</v>
      </c>
      <c r="C261" s="61">
        <v>-2.9966051063581262E-2</v>
      </c>
      <c r="D261" s="65">
        <v>6.2020355501398887E-2</v>
      </c>
    </row>
    <row r="262" spans="1:4" x14ac:dyDescent="0.2">
      <c r="A262" s="38">
        <v>45143</v>
      </c>
      <c r="B262" s="61">
        <v>-1.3195097599705941E-2</v>
      </c>
      <c r="C262" s="61">
        <v>-4.2922935012793071E-3</v>
      </c>
      <c r="D262" s="65">
        <v>8.0374301039929402E-2</v>
      </c>
    </row>
    <row r="263" spans="1:4" x14ac:dyDescent="0.2">
      <c r="A263" s="38">
        <v>45144</v>
      </c>
      <c r="B263" s="61">
        <v>-1.2745626145598337E-2</v>
      </c>
      <c r="C263" s="61">
        <v>-2.4597447737806137E-2</v>
      </c>
      <c r="D263" s="65">
        <v>0.17181327559622708</v>
      </c>
    </row>
    <row r="264" spans="1:4" x14ac:dyDescent="0.2">
      <c r="A264" s="38">
        <v>45146</v>
      </c>
      <c r="B264" s="61">
        <v>6.3827819175395012E-2</v>
      </c>
      <c r="C264" s="61">
        <v>2.9341211603620604E-2</v>
      </c>
      <c r="D264" s="65">
        <v>1.824852910165374E-2</v>
      </c>
    </row>
    <row r="265" spans="1:4" x14ac:dyDescent="0.2">
      <c r="A265" s="38">
        <v>45147</v>
      </c>
      <c r="B265" s="61">
        <v>-1.3791963275134631E-2</v>
      </c>
      <c r="C265" s="61">
        <v>-2.1344760363471681E-2</v>
      </c>
      <c r="D265" s="65">
        <v>-0.35526922506432645</v>
      </c>
    </row>
    <row r="266" spans="1:4" x14ac:dyDescent="0.2">
      <c r="A266" s="38">
        <v>45149</v>
      </c>
      <c r="B266" s="61">
        <v>-1.1910671383266777E-3</v>
      </c>
      <c r="C266" s="61">
        <v>-2.279619068842325E-2</v>
      </c>
      <c r="D266" s="65">
        <v>-7.4020899882315333E-2</v>
      </c>
    </row>
    <row r="267" spans="1:4" x14ac:dyDescent="0.2">
      <c r="A267" s="38">
        <v>45150</v>
      </c>
      <c r="B267" s="61">
        <v>5.5534956181964988E-2</v>
      </c>
      <c r="C267" s="61">
        <v>2.81196515169287E-2</v>
      </c>
      <c r="D267" s="65">
        <v>-4.6770540102538921E-2</v>
      </c>
    </row>
    <row r="268" spans="1:4" x14ac:dyDescent="0.2">
      <c r="A268" s="38">
        <v>45170</v>
      </c>
      <c r="B268" s="61">
        <v>-2.9750477881848682E-2</v>
      </c>
      <c r="C268" s="61">
        <v>-6.0782833412801234E-3</v>
      </c>
      <c r="D268" s="65">
        <v>0.12603548269527506</v>
      </c>
    </row>
    <row r="269" spans="1:4" x14ac:dyDescent="0.2">
      <c r="A269" s="38">
        <v>45171</v>
      </c>
      <c r="B269" s="61">
        <v>6.455666847581075E-2</v>
      </c>
      <c r="C269" s="61">
        <v>4.6314691770739144E-2</v>
      </c>
      <c r="D269" s="65">
        <v>1.7529891160743397E-2</v>
      </c>
    </row>
    <row r="270" spans="1:4" x14ac:dyDescent="0.2">
      <c r="A270" s="38">
        <v>45172</v>
      </c>
      <c r="B270" s="61">
        <v>-0.11010007654637288</v>
      </c>
      <c r="C270" s="61">
        <v>-2.4215108894492878E-2</v>
      </c>
      <c r="D270" s="65">
        <v>6.5699863857011639E-2</v>
      </c>
    </row>
    <row r="271" spans="1:4" x14ac:dyDescent="0.2">
      <c r="A271" s="38">
        <v>45174</v>
      </c>
      <c r="B271" s="61">
        <v>-1.4077555751769402E-2</v>
      </c>
      <c r="C271" s="61">
        <v>-6.4493335130001222E-3</v>
      </c>
      <c r="D271" s="65">
        <v>0.18530337144569714</v>
      </c>
    </row>
    <row r="272" spans="1:4" x14ac:dyDescent="0.2">
      <c r="A272" s="38">
        <v>45175</v>
      </c>
      <c r="B272" s="61">
        <v>-1.5947319428493444E-2</v>
      </c>
      <c r="C272" s="61">
        <v>-1.9685620334131983E-2</v>
      </c>
      <c r="D272" s="65">
        <v>7.0527530731399848E-2</v>
      </c>
    </row>
    <row r="273" spans="1:4" x14ac:dyDescent="0.2">
      <c r="A273" s="38">
        <v>45177</v>
      </c>
      <c r="B273" s="61">
        <v>9.0268072371114019E-2</v>
      </c>
      <c r="C273" s="61">
        <v>2.9807538543164102E-2</v>
      </c>
      <c r="D273" s="65">
        <v>-0.35627917221221572</v>
      </c>
    </row>
    <row r="274" spans="1:4" x14ac:dyDescent="0.2">
      <c r="A274" s="38">
        <v>45179</v>
      </c>
      <c r="B274" s="61">
        <v>-4.7060616350839538E-2</v>
      </c>
      <c r="C274" s="61">
        <v>-5.1422407167743281E-2</v>
      </c>
      <c r="D274" s="65">
        <v>-1.6367738580233583E-2</v>
      </c>
    </row>
    <row r="275" spans="1:4" x14ac:dyDescent="0.2">
      <c r="A275" s="38">
        <v>45180</v>
      </c>
      <c r="B275" s="61">
        <v>2.0580522570357137E-2</v>
      </c>
      <c r="C275" s="61">
        <v>6.3925395199731627E-3</v>
      </c>
      <c r="D275" s="65">
        <v>-2.701031664327273E-2</v>
      </c>
    </row>
    <row r="276" spans="1:4" x14ac:dyDescent="0.2">
      <c r="A276" s="38">
        <v>45200</v>
      </c>
      <c r="B276" s="61">
        <v>1.1780304660193095E-2</v>
      </c>
      <c r="C276" s="61">
        <v>1.6415018760846525E-2</v>
      </c>
      <c r="D276" s="65">
        <v>7.6926636748257948E-3</v>
      </c>
    </row>
    <row r="277" spans="1:4" x14ac:dyDescent="0.2">
      <c r="A277" s="38">
        <v>45201</v>
      </c>
      <c r="B277" s="61">
        <v>6.219474877313063E-2</v>
      </c>
      <c r="C277" s="61">
        <v>4.1572238889502934E-2</v>
      </c>
      <c r="D277" s="65">
        <v>4.9205609985005373E-2</v>
      </c>
    </row>
    <row r="278" spans="1:4" x14ac:dyDescent="0.2">
      <c r="A278" s="38">
        <v>45202</v>
      </c>
      <c r="B278" s="61">
        <v>-0.14079476295412391</v>
      </c>
      <c r="C278" s="61">
        <v>-3.9652892839113399E-2</v>
      </c>
      <c r="D278" s="65">
        <v>-3.2908337389781217E-3</v>
      </c>
    </row>
    <row r="279" spans="1:4" x14ac:dyDescent="0.2">
      <c r="A279" s="38">
        <v>45204</v>
      </c>
      <c r="B279" s="61">
        <v>2.420473979543903E-2</v>
      </c>
      <c r="C279" s="61">
        <v>1.541654376783186E-2</v>
      </c>
      <c r="D279" s="65">
        <v>6.8852186915596206E-2</v>
      </c>
    </row>
    <row r="280" spans="1:4" x14ac:dyDescent="0.2">
      <c r="A280" s="38">
        <v>45206</v>
      </c>
      <c r="B280" s="61">
        <v>6.8238794102520144E-3</v>
      </c>
      <c r="C280" s="61">
        <v>-3.5305952440782544E-2</v>
      </c>
      <c r="D280" s="65">
        <v>0.16810145723424666</v>
      </c>
    </row>
    <row r="281" spans="1:4" x14ac:dyDescent="0.2">
      <c r="A281" s="38">
        <v>45207</v>
      </c>
      <c r="B281" s="61">
        <v>5.8640375597079526E-2</v>
      </c>
      <c r="C281" s="61">
        <v>4.9225195036294488E-2</v>
      </c>
      <c r="D281" s="65">
        <v>0.22263197731024734</v>
      </c>
    </row>
    <row r="282" spans="1:4" x14ac:dyDescent="0.2">
      <c r="A282" s="38">
        <v>45209</v>
      </c>
      <c r="B282" s="61">
        <v>-3.6754149124899972E-2</v>
      </c>
      <c r="C282" s="61">
        <v>-4.4013215648859162E-2</v>
      </c>
      <c r="D282" s="65">
        <v>-0.53999679917438059</v>
      </c>
    </row>
    <row r="283" spans="1:4" x14ac:dyDescent="0.2">
      <c r="A283" s="38">
        <v>45210</v>
      </c>
      <c r="B283" s="61">
        <v>6.1380254089577558E-3</v>
      </c>
      <c r="C283" s="61">
        <v>-9.1460354609163054E-3</v>
      </c>
      <c r="D283" s="65">
        <v>-3.9509211335664596E-3</v>
      </c>
    </row>
    <row r="284" spans="1:4" x14ac:dyDescent="0.2">
      <c r="A284" s="38">
        <v>45231</v>
      </c>
      <c r="B284" s="61">
        <v>2.1577600644547369E-2</v>
      </c>
      <c r="C284" s="61">
        <v>3.0880676741928292E-2</v>
      </c>
      <c r="D284" s="65">
        <v>9.2835018939721625E-2</v>
      </c>
    </row>
    <row r="285" spans="1:4" x14ac:dyDescent="0.2">
      <c r="A285" s="38">
        <v>45234</v>
      </c>
      <c r="B285" s="61">
        <v>-3.7094124406240707E-2</v>
      </c>
      <c r="C285" s="61">
        <v>1.5801558685503137E-2</v>
      </c>
      <c r="D285" s="65">
        <v>6.8491084283176309E-4</v>
      </c>
    </row>
    <row r="286" spans="1:4" x14ac:dyDescent="0.2">
      <c r="A286" s="38">
        <v>45235</v>
      </c>
      <c r="B286" s="61">
        <v>-1.423475653671308E-2</v>
      </c>
      <c r="C286" s="61">
        <v>-7.9660902795279029E-3</v>
      </c>
      <c r="D286" s="65">
        <v>6.5524907758983508E-2</v>
      </c>
    </row>
    <row r="287" spans="1:4" x14ac:dyDescent="0.2">
      <c r="A287" s="38">
        <v>45237</v>
      </c>
      <c r="B287" s="61">
        <v>1.2830402810069332E-2</v>
      </c>
      <c r="C287" s="61">
        <v>-1.9915983325662769E-2</v>
      </c>
      <c r="D287" s="65">
        <v>9.3285940799081798E-2</v>
      </c>
    </row>
    <row r="288" spans="1:4" x14ac:dyDescent="0.2">
      <c r="A288" s="38">
        <v>45238</v>
      </c>
      <c r="B288" s="61">
        <v>4.6866727803400961E-2</v>
      </c>
      <c r="C288" s="61">
        <v>3.2004946339455498E-2</v>
      </c>
      <c r="D288" s="65">
        <v>0.16442793280103229</v>
      </c>
    </row>
    <row r="289" spans="1:4" x14ac:dyDescent="0.2">
      <c r="A289" s="38">
        <v>45239</v>
      </c>
      <c r="B289" s="61">
        <v>-2.2864782174927645E-2</v>
      </c>
      <c r="C289" s="61">
        <v>-2.0341457198004266E-2</v>
      </c>
      <c r="D289" s="65">
        <v>2.4787786654516083E-2</v>
      </c>
    </row>
    <row r="290" spans="1:4" x14ac:dyDescent="0.2">
      <c r="A290" s="38">
        <v>45240</v>
      </c>
      <c r="B290" s="61">
        <v>-1.3815100321480284E-2</v>
      </c>
      <c r="C290" s="61">
        <v>-1.4551364194763357E-2</v>
      </c>
      <c r="D290" s="65">
        <v>-0.44553967487011137</v>
      </c>
    </row>
    <row r="291" spans="1:4" x14ac:dyDescent="0.2">
      <c r="A291" s="38">
        <v>45242</v>
      </c>
      <c r="B291" s="61">
        <v>6.0718136568455067E-2</v>
      </c>
      <c r="C291" s="61">
        <v>1.5482482368113016E-2</v>
      </c>
      <c r="D291" s="65">
        <v>-1.707422566687157E-2</v>
      </c>
    </row>
    <row r="292" spans="1:4" x14ac:dyDescent="0.2">
      <c r="A292" s="38">
        <v>45261</v>
      </c>
      <c r="B292" s="61">
        <v>-1.6594761359387322E-2</v>
      </c>
      <c r="C292" s="61">
        <v>1.1243678266949598E-2</v>
      </c>
      <c r="D292" s="65">
        <v>9.5942084642878872E-2</v>
      </c>
    </row>
    <row r="293" spans="1:4" x14ac:dyDescent="0.2">
      <c r="A293" s="38">
        <v>45264</v>
      </c>
      <c r="B293" s="61">
        <v>-5.8232780235047993E-2</v>
      </c>
      <c r="C293" s="61">
        <v>8.6842309136335311E-3</v>
      </c>
      <c r="D293" s="65">
        <v>-1.0715087719152052E-2</v>
      </c>
    </row>
    <row r="294" spans="1:4" x14ac:dyDescent="0.2">
      <c r="A294" s="38">
        <v>45265</v>
      </c>
      <c r="B294" s="61">
        <v>-2.7246598419178336E-3</v>
      </c>
      <c r="C294" s="61">
        <v>-1.1944856622690257E-2</v>
      </c>
      <c r="D294" s="65">
        <v>-1.0364769036013537E-2</v>
      </c>
    </row>
    <row r="295" spans="1:4" x14ac:dyDescent="0.2">
      <c r="A295" s="38">
        <v>45267</v>
      </c>
      <c r="B295" s="61">
        <v>1.9181268815727439E-3</v>
      </c>
      <c r="C295" s="61">
        <v>-1.6814826009815452E-2</v>
      </c>
      <c r="D295" s="65">
        <v>0.21147957915883897</v>
      </c>
    </row>
    <row r="296" spans="1:4" x14ac:dyDescent="0.2">
      <c r="A296" s="38">
        <v>45269</v>
      </c>
      <c r="B296" s="61">
        <v>2.9416808601641468E-2</v>
      </c>
      <c r="C296" s="61">
        <v>9.9285464118787897E-3</v>
      </c>
      <c r="D296" s="65">
        <v>0.16182337950733724</v>
      </c>
    </row>
    <row r="297" spans="1:4" x14ac:dyDescent="0.2">
      <c r="A297" s="38">
        <v>45270</v>
      </c>
      <c r="B297" s="61">
        <v>-5.0071284230650825E-3</v>
      </c>
      <c r="C297" s="61">
        <v>-1.6212526125262326E-2</v>
      </c>
      <c r="D297" s="65">
        <v>-1.1457451578988968E-2</v>
      </c>
    </row>
    <row r="298" spans="1:4" x14ac:dyDescent="0.2">
      <c r="A298" s="38">
        <v>45272</v>
      </c>
      <c r="B298" s="61">
        <v>5.5609752465574168E-2</v>
      </c>
      <c r="C298" s="61">
        <v>2.0145450002141345E-2</v>
      </c>
      <c r="D298" s="65">
        <v>-0.12507908118858999</v>
      </c>
    </row>
    <row r="299" spans="1:4" x14ac:dyDescent="0.2">
      <c r="A299" s="38">
        <v>45293</v>
      </c>
      <c r="B299" s="61">
        <v>6.0421969258074311E-2</v>
      </c>
      <c r="C299" s="61">
        <v>4.7622584807847611E-2</v>
      </c>
      <c r="D299" s="65">
        <v>8.5903238633434159E-2</v>
      </c>
    </row>
    <row r="300" spans="1:4" x14ac:dyDescent="0.2">
      <c r="A300" s="38">
        <v>45294</v>
      </c>
      <c r="B300" s="61">
        <v>2.8170876966696439E-2</v>
      </c>
      <c r="C300" s="61">
        <v>2.0530531071444199E-2</v>
      </c>
      <c r="D300" s="65">
        <v>-4.3874246384395084E-2</v>
      </c>
    </row>
    <row r="301" spans="1:4" x14ac:dyDescent="0.2">
      <c r="A301" s="38">
        <v>45296</v>
      </c>
      <c r="B301" s="61">
        <v>-2.9749686171060646E-2</v>
      </c>
      <c r="C301" s="61">
        <v>-2.2945082880819062E-2</v>
      </c>
      <c r="D301" s="65">
        <v>8.4304507013584495E-3</v>
      </c>
    </row>
    <row r="302" spans="1:4" x14ac:dyDescent="0.2">
      <c r="A302" s="38">
        <v>45298</v>
      </c>
      <c r="B302" s="61">
        <v>0.10237150244344723</v>
      </c>
      <c r="C302" s="61">
        <v>2.3603304544588255E-2</v>
      </c>
      <c r="D302" s="65">
        <v>-4.0014124686362073E-3</v>
      </c>
    </row>
    <row r="303" spans="1:4" x14ac:dyDescent="0.2">
      <c r="A303" s="38">
        <v>45299</v>
      </c>
      <c r="B303" s="61">
        <v>7.6770261654616617E-2</v>
      </c>
      <c r="C303" s="61">
        <v>4.5894069839428016E-2</v>
      </c>
      <c r="D303" s="65">
        <v>-4.4800407090091462E-2</v>
      </c>
    </row>
    <row r="304" spans="1:4" x14ac:dyDescent="0.2">
      <c r="A304" s="38">
        <v>45301</v>
      </c>
      <c r="B304" s="61">
        <v>-2.1735954571815534E-2</v>
      </c>
      <c r="C304" s="61">
        <v>1.1541699833704953E-2</v>
      </c>
      <c r="D304" s="65">
        <v>-0.14012902981189665</v>
      </c>
    </row>
    <row r="305" spans="1:4" x14ac:dyDescent="0.2">
      <c r="A305" s="38">
        <v>45302</v>
      </c>
      <c r="B305" s="61">
        <v>6.3558402460069899E-2</v>
      </c>
      <c r="C305" s="61">
        <v>-1.103657153886055E-2</v>
      </c>
      <c r="D305" s="65">
        <v>5.6952890303825311E-2</v>
      </c>
    </row>
    <row r="306" spans="1:4" x14ac:dyDescent="0.2">
      <c r="A306" s="38">
        <v>45323</v>
      </c>
      <c r="B306" s="61">
        <v>-0.22368912906817076</v>
      </c>
      <c r="C306" s="61">
        <v>-6.2382891799339708E-2</v>
      </c>
      <c r="D306" s="65">
        <v>5.1351802501547722E-2</v>
      </c>
    </row>
    <row r="307" spans="1:4" x14ac:dyDescent="0.2">
      <c r="A307" s="38">
        <v>45324</v>
      </c>
      <c r="B307" s="61">
        <v>1.9179386614473156E-2</v>
      </c>
      <c r="C307" s="61">
        <v>9.3429355436384053E-3</v>
      </c>
      <c r="D307" s="65">
        <v>0.13758534215685386</v>
      </c>
    </row>
    <row r="308" spans="1:4" x14ac:dyDescent="0.2">
      <c r="A308" s="38">
        <v>45326</v>
      </c>
      <c r="B308" s="61">
        <v>3.6123988846340174E-2</v>
      </c>
      <c r="C308" s="61">
        <v>2.4187535989553959E-2</v>
      </c>
      <c r="D308" s="65">
        <v>-1.8666018571093668E-2</v>
      </c>
    </row>
    <row r="309" spans="1:4" x14ac:dyDescent="0.2">
      <c r="A309" s="38">
        <v>45327</v>
      </c>
      <c r="B309" s="61">
        <v>-4.3142777679376562E-2</v>
      </c>
      <c r="C309" s="61">
        <v>-3.889368337924947E-2</v>
      </c>
      <c r="D309" s="65">
        <v>-6.3756992819751973E-2</v>
      </c>
    </row>
    <row r="310" spans="1:4" x14ac:dyDescent="0.2">
      <c r="A310" s="38">
        <v>45329</v>
      </c>
      <c r="B310" s="61">
        <v>8.8647718611550921E-2</v>
      </c>
      <c r="C310" s="61">
        <v>1.7144919872821584E-2</v>
      </c>
      <c r="D310" s="65">
        <v>4.4995381792454353E-2</v>
      </c>
    </row>
    <row r="311" spans="1:4" x14ac:dyDescent="0.2">
      <c r="A311" s="38">
        <v>45330</v>
      </c>
      <c r="B311" s="61">
        <v>5.2700866082032456E-2</v>
      </c>
      <c r="C311" s="61">
        <v>2.8735040508487731E-2</v>
      </c>
      <c r="D311" s="65">
        <v>-8.9664024131413278E-2</v>
      </c>
    </row>
    <row r="312" spans="1:4" x14ac:dyDescent="0.2">
      <c r="A312" s="38">
        <v>45331</v>
      </c>
      <c r="B312" s="61">
        <v>6.7925313072706772E-2</v>
      </c>
      <c r="C312" s="61">
        <v>2.0769320857826713E-2</v>
      </c>
      <c r="D312" s="65">
        <v>-7.6456011629235515E-2</v>
      </c>
    </row>
    <row r="313" spans="1:4" x14ac:dyDescent="0.2">
      <c r="A313" s="38">
        <v>45332</v>
      </c>
      <c r="B313" s="61">
        <v>-5.4949320016673825E-2</v>
      </c>
      <c r="C313" s="61">
        <v>1.0829080383683479E-2</v>
      </c>
      <c r="D313" s="65">
        <v>0.13495212789859184</v>
      </c>
    </row>
    <row r="314" spans="1:4" x14ac:dyDescent="0.2">
      <c r="A314" s="38">
        <v>45334</v>
      </c>
      <c r="B314" s="61">
        <v>0.16454013609762169</v>
      </c>
      <c r="C314" s="61">
        <v>3.000327179387683E-2</v>
      </c>
      <c r="D314" s="65">
        <v>-0.2655711531407105</v>
      </c>
    </row>
    <row r="315" spans="1:4" x14ac:dyDescent="0.2">
      <c r="A315" s="38">
        <v>45352</v>
      </c>
      <c r="B315" s="61">
        <v>-0.3441379297376988</v>
      </c>
      <c r="C315" s="61">
        <v>-0.11592631040902089</v>
      </c>
      <c r="D315" s="65">
        <v>0.29254812025986821</v>
      </c>
    </row>
    <row r="316" spans="1:4" x14ac:dyDescent="0.2">
      <c r="A316" s="38">
        <v>45355</v>
      </c>
      <c r="B316" s="61">
        <v>4.941424478523871E-2</v>
      </c>
      <c r="C316" s="61">
        <v>3.3886043970012839E-2</v>
      </c>
      <c r="D316" s="65">
        <v>1.5531892003280506E-2</v>
      </c>
    </row>
    <row r="317" spans="1:4" x14ac:dyDescent="0.2">
      <c r="A317" s="38">
        <v>45356</v>
      </c>
      <c r="B317" s="61">
        <v>-2.2143026232104825E-2</v>
      </c>
      <c r="C317" s="61">
        <v>-1.9920848225533888E-2</v>
      </c>
      <c r="D317" s="65">
        <v>-0.15936018357115819</v>
      </c>
    </row>
    <row r="318" spans="1:4" x14ac:dyDescent="0.2">
      <c r="A318" s="38">
        <v>45357</v>
      </c>
      <c r="B318" s="61">
        <v>5.1254241294866144E-2</v>
      </c>
      <c r="C318" s="61">
        <v>1.71544167639094E-2</v>
      </c>
      <c r="D318" s="65">
        <v>0.12286222865718154</v>
      </c>
    </row>
    <row r="319" spans="1:4" x14ac:dyDescent="0.2">
      <c r="A319" s="38">
        <v>45358</v>
      </c>
      <c r="B319" s="61">
        <v>3.3164753525033126E-2</v>
      </c>
      <c r="C319" s="61">
        <v>-2.7224242504695312E-3</v>
      </c>
      <c r="D319" s="65">
        <v>-1.7134140463662538E-2</v>
      </c>
    </row>
    <row r="320" spans="1:4" x14ac:dyDescent="0.2">
      <c r="A320" s="38">
        <v>45360</v>
      </c>
      <c r="B320" s="61">
        <v>0.13414932257890369</v>
      </c>
      <c r="C320" s="61">
        <v>4.5870277768918055E-2</v>
      </c>
      <c r="D320" s="65">
        <v>-0.11839970237687217</v>
      </c>
    </row>
    <row r="321" spans="1:4" x14ac:dyDescent="0.2">
      <c r="A321" s="38">
        <v>45361</v>
      </c>
      <c r="B321" s="61">
        <v>-6.3116739768724381E-2</v>
      </c>
      <c r="C321" s="61">
        <v>1.2509054235394427E-2</v>
      </c>
      <c r="D321" s="65">
        <v>0.13611435644190698</v>
      </c>
    </row>
    <row r="322" spans="1:4" x14ac:dyDescent="0.2">
      <c r="A322" s="38">
        <v>45363</v>
      </c>
      <c r="B322" s="61">
        <v>0.15881994901094185</v>
      </c>
      <c r="C322" s="61">
        <v>3.4733198481653862E-2</v>
      </c>
      <c r="D322" s="65">
        <v>-0.25677251213620261</v>
      </c>
    </row>
    <row r="323" spans="1:4" x14ac:dyDescent="0.2">
      <c r="A323" s="38">
        <v>45383</v>
      </c>
      <c r="B323" s="61">
        <v>-0.3472667568874635</v>
      </c>
      <c r="C323" s="61">
        <v>-0.12538525381649349</v>
      </c>
      <c r="D323" s="65">
        <v>0.28435815911074458</v>
      </c>
    </row>
    <row r="324" spans="1:4" x14ac:dyDescent="0.2">
      <c r="A324" s="38">
        <v>45385</v>
      </c>
      <c r="B324" s="61">
        <v>5.7766156096241972E-2</v>
      </c>
      <c r="C324" s="61">
        <v>3.1742860371704443E-2</v>
      </c>
      <c r="D324" s="65">
        <v>-2.4653669848735311E-2</v>
      </c>
    </row>
    <row r="325" spans="1:4" x14ac:dyDescent="0.2">
      <c r="A325" s="38">
        <v>45386</v>
      </c>
      <c r="B325" s="61">
        <v>1.9452790842710043E-3</v>
      </c>
      <c r="C325" s="61">
        <v>1.0480321733403762E-2</v>
      </c>
      <c r="D325" s="65">
        <v>-3.6128344367711666E-2</v>
      </c>
    </row>
    <row r="326" spans="1:4" x14ac:dyDescent="0.2">
      <c r="A326" s="38">
        <v>45388</v>
      </c>
      <c r="B326" s="61">
        <v>3.413811008981555E-2</v>
      </c>
      <c r="C326" s="61">
        <v>-1.0312286006027663E-2</v>
      </c>
      <c r="D326" s="65">
        <v>-1.9892705806858688E-2</v>
      </c>
    </row>
    <row r="327" spans="1:4" x14ac:dyDescent="0.2">
      <c r="A327" s="38">
        <v>45389</v>
      </c>
      <c r="B327" s="61">
        <v>4.3151469288772372E-2</v>
      </c>
      <c r="C327" s="61">
        <v>1.2165428250576059E-2</v>
      </c>
      <c r="D327" s="65">
        <v>2.9183160647321862E-2</v>
      </c>
    </row>
    <row r="328" spans="1:4" x14ac:dyDescent="0.2">
      <c r="A328" s="38">
        <v>45391</v>
      </c>
      <c r="B328" s="61">
        <v>9.0277843979169978E-2</v>
      </c>
      <c r="C328" s="61">
        <v>1.5042451129652596E-2</v>
      </c>
      <c r="D328" s="65">
        <v>-8.7567809171210709E-2</v>
      </c>
    </row>
    <row r="329" spans="1:4" x14ac:dyDescent="0.2">
      <c r="A329" s="38">
        <v>45392</v>
      </c>
      <c r="B329" s="61">
        <v>-5.282143159997163E-2</v>
      </c>
      <c r="C329" s="61">
        <v>2.4783107482456716E-2</v>
      </c>
      <c r="D329" s="65">
        <v>0.1460408165549921</v>
      </c>
    </row>
    <row r="330" spans="1:4" x14ac:dyDescent="0.2">
      <c r="A330" s="38">
        <v>45393</v>
      </c>
      <c r="B330" s="61">
        <v>8.3848578391165024E-2</v>
      </c>
      <c r="C330" s="61">
        <v>1.78980837991587E-3</v>
      </c>
      <c r="D330" s="65">
        <v>-0.28678089460043182</v>
      </c>
    </row>
    <row r="331" spans="1:4" x14ac:dyDescent="0.2">
      <c r="A331" s="38">
        <v>45394</v>
      </c>
      <c r="B331" s="61">
        <v>8.3558939941685312E-2</v>
      </c>
      <c r="C331" s="61">
        <v>3.5848719374883584E-2</v>
      </c>
      <c r="D331" s="65">
        <v>8.0723090321763599E-2</v>
      </c>
    </row>
    <row r="332" spans="1:4" x14ac:dyDescent="0.2">
      <c r="A332" s="38">
        <v>45413</v>
      </c>
      <c r="B332" s="61">
        <v>-0.32850052682947462</v>
      </c>
      <c r="C332" s="61">
        <v>-0.12220782491187755</v>
      </c>
      <c r="D332" s="65">
        <v>0.19642432921566044</v>
      </c>
    </row>
    <row r="333" spans="1:4" x14ac:dyDescent="0.2">
      <c r="A333" s="38">
        <v>45414</v>
      </c>
      <c r="B333" s="61">
        <v>2.1798035573579649E-2</v>
      </c>
      <c r="C333" s="61">
        <v>1.8101718219346145E-2</v>
      </c>
      <c r="D333" s="65">
        <v>4.8291791448263469E-2</v>
      </c>
    </row>
    <row r="334" spans="1:4" x14ac:dyDescent="0.2">
      <c r="A334" s="38">
        <v>45415</v>
      </c>
      <c r="B334" s="61">
        <v>1.2563627952790082E-2</v>
      </c>
      <c r="C334" s="61">
        <v>1.28079092355261E-2</v>
      </c>
      <c r="D334" s="65">
        <v>-0.16227191680760922</v>
      </c>
    </row>
    <row r="335" spans="1:4" x14ac:dyDescent="0.2">
      <c r="A335" s="38">
        <v>45416</v>
      </c>
      <c r="B335" s="61">
        <v>9.3625673272142804E-3</v>
      </c>
      <c r="C335" s="61">
        <v>6.336527089756904E-3</v>
      </c>
      <c r="D335" s="65">
        <v>0.14887684862767886</v>
      </c>
    </row>
    <row r="336" spans="1:4" x14ac:dyDescent="0.2">
      <c r="A336" s="38">
        <v>45418</v>
      </c>
      <c r="B336" s="61">
        <v>4.4974661504913513E-2</v>
      </c>
      <c r="C336" s="61">
        <v>-5.5332867203849534E-4</v>
      </c>
      <c r="D336" s="65">
        <v>-7.7835937262270935E-2</v>
      </c>
    </row>
    <row r="337" spans="1:4" x14ac:dyDescent="0.2">
      <c r="A337" s="38">
        <v>45419</v>
      </c>
      <c r="B337" s="61">
        <v>2.8975966615756025E-2</v>
      </c>
      <c r="C337" s="61">
        <v>6.8371729918786433E-3</v>
      </c>
      <c r="D337" s="65">
        <v>-7.9341866316013435E-3</v>
      </c>
    </row>
    <row r="338" spans="1:4" x14ac:dyDescent="0.2">
      <c r="A338" s="38">
        <v>45420</v>
      </c>
      <c r="B338" s="61">
        <v>-1.7540828320414554E-2</v>
      </c>
      <c r="C338" s="61">
        <v>-2.2325270070460541E-2</v>
      </c>
      <c r="D338" s="65">
        <v>-5.1253246751920958E-2</v>
      </c>
    </row>
    <row r="339" spans="1:4" x14ac:dyDescent="0.2">
      <c r="A339" s="38">
        <v>45421</v>
      </c>
      <c r="B339" s="61">
        <v>0.12380573426460559</v>
      </c>
      <c r="C339" s="61">
        <v>4.2585759234933941E-2</v>
      </c>
      <c r="D339" s="65">
        <v>2.8014752554836861E-2</v>
      </c>
    </row>
    <row r="340" spans="1:4" x14ac:dyDescent="0.2">
      <c r="A340" s="38">
        <v>45423</v>
      </c>
      <c r="B340" s="61">
        <v>1.7532005857957646E-2</v>
      </c>
      <c r="C340" s="61">
        <v>1.8543183143252411E-2</v>
      </c>
      <c r="D340" s="65">
        <v>-0.14558393723473889</v>
      </c>
    </row>
    <row r="341" spans="1:4" x14ac:dyDescent="0.2">
      <c r="A341" s="38">
        <v>45424</v>
      </c>
      <c r="B341" s="61">
        <v>9.3760649887200759E-2</v>
      </c>
      <c r="C341" s="61">
        <v>4.1326552518982665E-2</v>
      </c>
      <c r="D341" s="65">
        <v>-1.5830419573311112E-2</v>
      </c>
    </row>
    <row r="342" spans="1:4" x14ac:dyDescent="0.2">
      <c r="A342" s="38">
        <v>45445</v>
      </c>
      <c r="B342" s="61">
        <v>-0.32309293309163228</v>
      </c>
      <c r="C342" s="61">
        <v>-0.11138459461302272</v>
      </c>
      <c r="D342" s="65">
        <v>0.27075041448193743</v>
      </c>
    </row>
    <row r="343" spans="1:4" x14ac:dyDescent="0.2">
      <c r="A343" s="38">
        <v>45446</v>
      </c>
      <c r="B343" s="61">
        <v>3.3869491472446098E-2</v>
      </c>
      <c r="C343" s="61">
        <v>1.983728232220925E-2</v>
      </c>
      <c r="D343" s="65">
        <v>-0.13408688717073844</v>
      </c>
    </row>
    <row r="344" spans="1:4" x14ac:dyDescent="0.2">
      <c r="A344" s="38">
        <v>45448</v>
      </c>
      <c r="B344" s="61">
        <v>-1.4644791320371395E-2</v>
      </c>
      <c r="C344" s="61">
        <v>-6.6295431544315343E-3</v>
      </c>
      <c r="D344" s="65">
        <v>5.9393685702588329E-2</v>
      </c>
    </row>
    <row r="345" spans="1:4" x14ac:dyDescent="0.2">
      <c r="A345" s="38">
        <v>45449</v>
      </c>
      <c r="B345" s="61">
        <v>6.8449509780582243E-2</v>
      </c>
      <c r="C345" s="61">
        <v>1.7982708756598707E-2</v>
      </c>
      <c r="D345" s="65">
        <v>-3.3302277988684764E-2</v>
      </c>
    </row>
    <row r="346" spans="1:4" x14ac:dyDescent="0.2">
      <c r="A346" s="38">
        <v>45451</v>
      </c>
      <c r="B346" s="61">
        <v>2.249243471080753E-2</v>
      </c>
      <c r="C346" s="61">
        <v>-1.821703799024265E-2</v>
      </c>
      <c r="D346" s="65">
        <v>2.6748986057753096E-2</v>
      </c>
    </row>
    <row r="347" spans="1:4" x14ac:dyDescent="0.2">
      <c r="A347" s="38">
        <v>45452</v>
      </c>
      <c r="B347" s="61">
        <v>0.11652050267370889</v>
      </c>
      <c r="C347" s="61">
        <v>4.2417471323862595E-2</v>
      </c>
      <c r="D347" s="65">
        <v>-5.4509045999138611E-2</v>
      </c>
    </row>
    <row r="348" spans="1:4" x14ac:dyDescent="0.2">
      <c r="A348" s="38">
        <v>45454</v>
      </c>
      <c r="B348" s="61">
        <v>1.3775180616096117E-2</v>
      </c>
      <c r="C348" s="61">
        <v>2.2958036369518684E-2</v>
      </c>
      <c r="D348" s="65">
        <v>-0.15630979154402663</v>
      </c>
    </row>
    <row r="349" spans="1:4" x14ac:dyDescent="0.2">
      <c r="A349" s="38">
        <v>45455</v>
      </c>
      <c r="B349" s="61">
        <v>7.6726763220333893E-2</v>
      </c>
      <c r="C349" s="61">
        <v>2.6643534101763289E-2</v>
      </c>
      <c r="D349" s="65">
        <v>-4.2770340546760509E-3</v>
      </c>
    </row>
    <row r="350" spans="1:4" x14ac:dyDescent="0.2">
      <c r="A350" s="38">
        <v>45475</v>
      </c>
      <c r="B350" s="61">
        <v>-0.31561648904722406</v>
      </c>
      <c r="C350" s="61">
        <v>-0.1004916742630772</v>
      </c>
      <c r="D350" s="65">
        <v>0.28319395412321502</v>
      </c>
    </row>
    <row r="351" spans="1:4" x14ac:dyDescent="0.2">
      <c r="A351" s="38">
        <v>45476</v>
      </c>
      <c r="B351" s="61">
        <v>4.0210720868946032E-2</v>
      </c>
      <c r="C351" s="61">
        <v>1.9233988043822717E-2</v>
      </c>
      <c r="D351" s="65">
        <v>-0.10664775116632892</v>
      </c>
    </row>
    <row r="352" spans="1:4" x14ac:dyDescent="0.2">
      <c r="A352" s="38">
        <v>45478</v>
      </c>
      <c r="B352" s="61">
        <v>-2.0986366569212492E-3</v>
      </c>
      <c r="C352" s="61">
        <v>3.8053655228276312E-3</v>
      </c>
      <c r="D352" s="65">
        <v>5.2340240808642441E-2</v>
      </c>
    </row>
    <row r="353" spans="1:4" x14ac:dyDescent="0.2">
      <c r="A353" s="38">
        <v>45479</v>
      </c>
      <c r="B353" s="61">
        <v>5.3580592492064656E-2</v>
      </c>
      <c r="C353" s="61">
        <v>8.5222162344153977E-3</v>
      </c>
      <c r="D353" s="65">
        <v>-5.8265738282488558E-2</v>
      </c>
    </row>
    <row r="354" spans="1:4" x14ac:dyDescent="0.2">
      <c r="A354" s="38">
        <v>45481</v>
      </c>
      <c r="B354" s="61">
        <v>1.4156588985285296E-2</v>
      </c>
      <c r="C354" s="61">
        <v>-2.0592251944781814E-2</v>
      </c>
      <c r="D354" s="65">
        <v>4.0673324502696062E-2</v>
      </c>
    </row>
    <row r="355" spans="1:4" x14ac:dyDescent="0.2">
      <c r="A355" s="38">
        <v>45483</v>
      </c>
      <c r="B355" s="61">
        <v>5.6708947192188747E-2</v>
      </c>
      <c r="C355" s="61">
        <v>6.3598119619171736E-2</v>
      </c>
      <c r="D355" s="65">
        <v>-0.14324112176472556</v>
      </c>
    </row>
    <row r="356" spans="1:4" x14ac:dyDescent="0.2">
      <c r="A356" s="38">
        <v>45484</v>
      </c>
      <c r="B356" s="61">
        <v>8.863011015950277E-2</v>
      </c>
      <c r="C356" s="61">
        <v>2.5438647578467292E-3</v>
      </c>
      <c r="D356" s="65">
        <v>-3.5481301544311165E-2</v>
      </c>
    </row>
    <row r="357" spans="1:4" x14ac:dyDescent="0.2">
      <c r="A357" s="38">
        <v>45505</v>
      </c>
      <c r="B357" s="61">
        <v>-0.27387944801982345</v>
      </c>
      <c r="C357" s="61">
        <v>-9.8920984466641437E-2</v>
      </c>
      <c r="D357" s="65">
        <v>0.19487756667375095</v>
      </c>
    </row>
    <row r="358" spans="1:4" x14ac:dyDescent="0.2">
      <c r="A358" s="38">
        <v>45506</v>
      </c>
      <c r="B358" s="61">
        <v>3.4148589088223658E-2</v>
      </c>
      <c r="C358" s="61">
        <v>2.4877531247145351E-2</v>
      </c>
      <c r="D358" s="65">
        <v>6.4197543229584819E-2</v>
      </c>
    </row>
    <row r="359" spans="1:4" x14ac:dyDescent="0.2">
      <c r="A359" s="38">
        <v>45507</v>
      </c>
      <c r="B359" s="61">
        <v>4.7033782439210636E-2</v>
      </c>
      <c r="C359" s="61">
        <v>2.6838407491480532E-2</v>
      </c>
      <c r="D359" s="65">
        <v>-5.703117936305855E-2</v>
      </c>
    </row>
    <row r="360" spans="1:4" x14ac:dyDescent="0.2">
      <c r="A360" s="38">
        <v>45508</v>
      </c>
      <c r="B360" s="61">
        <v>-2.7209156424032373E-2</v>
      </c>
      <c r="C360" s="61">
        <v>-7.40597267137436E-3</v>
      </c>
      <c r="D360" s="65">
        <v>4.2300662501617341E-2</v>
      </c>
    </row>
    <row r="361" spans="1:4" x14ac:dyDescent="0.2">
      <c r="A361" s="38">
        <v>45509</v>
      </c>
      <c r="B361" s="61">
        <v>1.3029226473056722E-2</v>
      </c>
      <c r="C361" s="61">
        <v>1.9751699423689508E-3</v>
      </c>
      <c r="D361" s="65">
        <v>-6.5073252560097009E-2</v>
      </c>
    </row>
    <row r="362" spans="1:4" x14ac:dyDescent="0.2">
      <c r="A362" s="38">
        <v>45511</v>
      </c>
      <c r="B362" s="61">
        <v>5.468240039467899E-2</v>
      </c>
      <c r="C362" s="61">
        <v>-5.3058700887915798E-3</v>
      </c>
      <c r="D362" s="65">
        <v>-5.5094242458284502E-4</v>
      </c>
    </row>
    <row r="363" spans="1:4" x14ac:dyDescent="0.2">
      <c r="A363" s="38">
        <v>45512</v>
      </c>
      <c r="B363" s="61">
        <v>2.0659628294742379E-2</v>
      </c>
      <c r="C363" s="61">
        <v>-1.0514690403826158E-2</v>
      </c>
      <c r="D363" s="65">
        <v>1.1588333784614643E-2</v>
      </c>
    </row>
    <row r="364" spans="1:4" x14ac:dyDescent="0.2">
      <c r="A364" s="38">
        <v>45514</v>
      </c>
      <c r="B364" s="61">
        <v>4.4387777334563179E-2</v>
      </c>
      <c r="C364" s="61">
        <v>6.2433175757352979E-2</v>
      </c>
      <c r="D364" s="65">
        <v>-0.1610434153533023</v>
      </c>
    </row>
    <row r="365" spans="1:4" x14ac:dyDescent="0.2">
      <c r="A365" s="38">
        <v>45515</v>
      </c>
      <c r="B365" s="61">
        <v>0.10103912252519247</v>
      </c>
      <c r="C365" s="61">
        <v>1.4351873343768865E-2</v>
      </c>
      <c r="D365" s="65">
        <v>-4.8806274809195777E-2</v>
      </c>
    </row>
    <row r="366" spans="1:4" x14ac:dyDescent="0.2">
      <c r="A366" s="38">
        <v>45536</v>
      </c>
      <c r="B366" s="61">
        <v>-0.27852685984468584</v>
      </c>
      <c r="C366" s="61">
        <v>-9.8032353911703882E-2</v>
      </c>
      <c r="D366" s="65">
        <v>0.2232419987592219</v>
      </c>
    </row>
    <row r="367" spans="1:4" x14ac:dyDescent="0.2">
      <c r="A367" s="38">
        <v>45537</v>
      </c>
      <c r="B367" s="61">
        <v>2.8092225060330277E-2</v>
      </c>
      <c r="C367" s="61">
        <v>1.6393053036222432E-2</v>
      </c>
      <c r="D367" s="65">
        <v>2.9068294493918595E-2</v>
      </c>
    </row>
    <row r="368" spans="1:4" x14ac:dyDescent="0.2">
      <c r="A368" s="38">
        <v>45539</v>
      </c>
      <c r="B368" s="61">
        <v>2.4726184282723659E-2</v>
      </c>
      <c r="C368" s="61">
        <v>2.3195816628639135E-2</v>
      </c>
      <c r="D368" s="65">
        <v>1.0118012231401137E-2</v>
      </c>
    </row>
    <row r="369" spans="1:4" x14ac:dyDescent="0.2">
      <c r="A369" s="38">
        <v>45540</v>
      </c>
      <c r="B369" s="61">
        <v>-1.7440333684117872E-2</v>
      </c>
      <c r="C369" s="61">
        <v>-1.319989832941685E-2</v>
      </c>
      <c r="D369" s="65">
        <v>-5.3751544834429954E-2</v>
      </c>
    </row>
    <row r="370" spans="1:4" x14ac:dyDescent="0.2">
      <c r="A370" s="38">
        <v>45542</v>
      </c>
      <c r="B370" s="61">
        <v>9.4463541644940252E-2</v>
      </c>
      <c r="C370" s="61">
        <v>1.3902598643884025E-2</v>
      </c>
      <c r="D370" s="65">
        <v>-2.4906504001104652E-3</v>
      </c>
    </row>
    <row r="371" spans="1:4" x14ac:dyDescent="0.2">
      <c r="A371" s="38">
        <v>45543</v>
      </c>
      <c r="B371" s="61">
        <v>6.6604955025456316E-3</v>
      </c>
      <c r="C371" s="61">
        <v>-6.663530429320488E-3</v>
      </c>
      <c r="D371" s="65">
        <v>-9.7140844919033756E-2</v>
      </c>
    </row>
    <row r="372" spans="1:4" x14ac:dyDescent="0.2">
      <c r="A372" s="38">
        <v>45544</v>
      </c>
      <c r="B372" s="61">
        <v>9.8428011760201578E-2</v>
      </c>
      <c r="C372" s="61">
        <v>2.6692269590237589E-2</v>
      </c>
      <c r="D372" s="65">
        <v>1.1006268083515708E-2</v>
      </c>
    </row>
    <row r="373" spans="1:4" x14ac:dyDescent="0.2">
      <c r="A373" s="38">
        <v>45545</v>
      </c>
      <c r="B373" s="61">
        <v>-5.2564328793697344E-2</v>
      </c>
      <c r="C373" s="61">
        <v>2.4643452892947153E-2</v>
      </c>
      <c r="D373" s="65">
        <v>-9.6081648109313619E-2</v>
      </c>
    </row>
    <row r="374" spans="1:4" x14ac:dyDescent="0.2">
      <c r="A374" s="38">
        <v>45547</v>
      </c>
      <c r="B374" s="61">
        <v>0.16136069799497851</v>
      </c>
      <c r="C374" s="61">
        <v>2.8369672186902797E-2</v>
      </c>
      <c r="D374" s="65">
        <v>-1.4837671170866179E-2</v>
      </c>
    </row>
    <row r="375" spans="1:4" x14ac:dyDescent="0.2">
      <c r="A375" s="38">
        <v>45566</v>
      </c>
      <c r="B375" s="61">
        <v>-0.3524353375776943</v>
      </c>
      <c r="C375" s="61">
        <v>-0.12027188356501654</v>
      </c>
      <c r="D375" s="65">
        <v>0.23750287049709753</v>
      </c>
    </row>
    <row r="376" spans="1:4" x14ac:dyDescent="0.2">
      <c r="A376" s="38">
        <v>45569</v>
      </c>
      <c r="B376" s="61">
        <v>5.3606753370377763E-2</v>
      </c>
      <c r="C376" s="61">
        <v>4.962825496491461E-2</v>
      </c>
      <c r="D376" s="65">
        <v>-6.3752278253203676E-2</v>
      </c>
    </row>
    <row r="377" spans="1:4" x14ac:dyDescent="0.2">
      <c r="A377" s="38">
        <v>45570</v>
      </c>
      <c r="B377" s="61">
        <v>-5.6840025777810414E-3</v>
      </c>
      <c r="C377" s="61">
        <v>-1.275862795131143E-2</v>
      </c>
      <c r="D377" s="65">
        <v>4.3639894481009939E-2</v>
      </c>
    </row>
    <row r="378" spans="1:4" x14ac:dyDescent="0.2">
      <c r="A378" s="38">
        <v>45572</v>
      </c>
      <c r="B378" s="61">
        <v>8.9461438758635659E-2</v>
      </c>
      <c r="C378" s="61">
        <v>8.7114608661833636E-3</v>
      </c>
      <c r="D378" s="65">
        <v>-2.750310449352375E-2</v>
      </c>
    </row>
    <row r="379" spans="1:4" x14ac:dyDescent="0.2">
      <c r="A379" s="38">
        <v>45574</v>
      </c>
      <c r="B379" s="61">
        <v>0.11197466049136109</v>
      </c>
      <c r="C379" s="61">
        <v>2.4652672799600806E-2</v>
      </c>
      <c r="D379" s="65">
        <v>-0.16546500550385282</v>
      </c>
    </row>
    <row r="380" spans="1:4" x14ac:dyDescent="0.2">
      <c r="A380" s="38">
        <v>45575</v>
      </c>
      <c r="B380" s="61">
        <v>-5.4163830853635193E-2</v>
      </c>
      <c r="C380" s="61">
        <v>2.6007169541161348E-2</v>
      </c>
      <c r="D380" s="65">
        <v>0.19836149932179292</v>
      </c>
    </row>
    <row r="381" spans="1:4" x14ac:dyDescent="0.2">
      <c r="A381" s="38">
        <v>45577</v>
      </c>
      <c r="B381" s="61">
        <v>0.14619954505758506</v>
      </c>
      <c r="C381" s="61">
        <v>2.0462919111932151E-2</v>
      </c>
      <c r="D381" s="65">
        <v>-0.26870551390930575</v>
      </c>
    </row>
    <row r="382" spans="1:4" x14ac:dyDescent="0.2">
      <c r="A382" s="38">
        <v>45597</v>
      </c>
      <c r="B382" s="61">
        <v>-0.32756700835140001</v>
      </c>
      <c r="C382" s="61">
        <v>-0.11169532438786141</v>
      </c>
      <c r="D382" s="65">
        <v>0.24964784035210102</v>
      </c>
    </row>
    <row r="383" spans="1:4" x14ac:dyDescent="0.2">
      <c r="A383" s="38">
        <v>45599</v>
      </c>
      <c r="B383" s="61">
        <v>3.9102206673377604E-2</v>
      </c>
      <c r="C383" s="61">
        <v>2.606293398600561E-2</v>
      </c>
      <c r="D383" s="65">
        <v>-1.436644741646112E-2</v>
      </c>
    </row>
    <row r="384" spans="1:4" x14ac:dyDescent="0.2">
      <c r="A384" s="38">
        <v>45600</v>
      </c>
      <c r="B384" s="61">
        <v>-1.1237029792823764E-2</v>
      </c>
      <c r="C384" s="61">
        <v>1.4100170452295646E-2</v>
      </c>
      <c r="D384" s="65">
        <v>-2.8435297868253939E-4</v>
      </c>
    </row>
    <row r="385" spans="1:4" x14ac:dyDescent="0.2">
      <c r="A385" s="38">
        <v>45602</v>
      </c>
      <c r="B385" s="61">
        <v>6.7204897276133033E-2</v>
      </c>
      <c r="C385" s="61">
        <v>-7.4764302267636071E-3</v>
      </c>
      <c r="D385" s="65">
        <v>-5.9206972985872949E-2</v>
      </c>
    </row>
    <row r="386" spans="1:4" x14ac:dyDescent="0.2">
      <c r="A386" s="38">
        <v>45603</v>
      </c>
      <c r="B386" s="61">
        <v>3.9165295969629747E-2</v>
      </c>
      <c r="C386" s="61">
        <v>1.7156061563358117E-2</v>
      </c>
      <c r="D386" s="65">
        <v>3.6341552433110616E-2</v>
      </c>
    </row>
    <row r="387" spans="1:4" x14ac:dyDescent="0.2">
      <c r="A387" s="38">
        <v>45605</v>
      </c>
      <c r="B387" s="61">
        <v>8.2195561034637626E-2</v>
      </c>
      <c r="C387" s="61">
        <v>1.2382460209316272E-2</v>
      </c>
      <c r="D387" s="65">
        <v>-0.16555262555735051</v>
      </c>
    </row>
    <row r="388" spans="1:4" x14ac:dyDescent="0.2">
      <c r="A388" s="38">
        <v>45606</v>
      </c>
      <c r="B388" s="61">
        <v>-3.9110120190567581E-2</v>
      </c>
      <c r="C388" s="61">
        <v>2.7972988667213473E-2</v>
      </c>
      <c r="D388" s="65">
        <v>0.21350987179769079</v>
      </c>
    </row>
    <row r="389" spans="1:4" x14ac:dyDescent="0.2">
      <c r="A389" s="38">
        <v>45607</v>
      </c>
      <c r="B389" s="61">
        <v>9.9229995923189721E-2</v>
      </c>
      <c r="C389" s="61">
        <v>6.2740259322169997E-3</v>
      </c>
      <c r="D389" s="65">
        <v>-6.3251714660810254E-2</v>
      </c>
    </row>
    <row r="390" spans="1:4" x14ac:dyDescent="0.2">
      <c r="A390" s="38">
        <v>45608</v>
      </c>
      <c r="B390" s="61">
        <v>5.0318121150242583E-2</v>
      </c>
      <c r="C390" s="61">
        <v>1.0517672377679595E-2</v>
      </c>
      <c r="D390" s="65">
        <v>-0.19939168966905485</v>
      </c>
    </row>
    <row r="391" spans="1:4" x14ac:dyDescent="0.2">
      <c r="A391" s="38">
        <v>45627</v>
      </c>
      <c r="B391" s="61">
        <v>-0.32660487840095243</v>
      </c>
      <c r="C391" s="61">
        <v>-0.10801625549132425</v>
      </c>
      <c r="D391" s="65">
        <v>0.23539201484968345</v>
      </c>
    </row>
    <row r="392" spans="1:4" x14ac:dyDescent="0.2">
      <c r="A392" s="38">
        <v>45628</v>
      </c>
      <c r="B392" s="61">
        <v>1.8312335930068636E-2</v>
      </c>
      <c r="C392" s="61">
        <v>1.5430526101710803E-2</v>
      </c>
      <c r="D392" s="65">
        <v>4.6670212818328977E-2</v>
      </c>
    </row>
    <row r="393" spans="1:4" x14ac:dyDescent="0.2">
      <c r="A393" s="38">
        <v>45629</v>
      </c>
      <c r="B393" s="61">
        <v>1.7218911740128875E-2</v>
      </c>
      <c r="C393" s="61">
        <v>1.273553494696872E-2</v>
      </c>
      <c r="D393" s="65">
        <v>-2.637867595033621E-2</v>
      </c>
    </row>
    <row r="394" spans="1:4" x14ac:dyDescent="0.2">
      <c r="A394" s="38">
        <v>45630</v>
      </c>
      <c r="B394" s="61">
        <v>-1.2821784338087845E-2</v>
      </c>
      <c r="C394" s="61">
        <v>9.754538463089199E-3</v>
      </c>
      <c r="D394" s="65">
        <v>-3.2708068226850906E-2</v>
      </c>
    </row>
    <row r="395" spans="1:4" x14ac:dyDescent="0.2">
      <c r="A395" s="38">
        <v>45632</v>
      </c>
      <c r="B395" s="61">
        <v>6.5430672948534052E-2</v>
      </c>
      <c r="C395" s="61">
        <v>-9.3656351654729311E-3</v>
      </c>
      <c r="D395" s="65">
        <v>-4.6408818800676176E-2</v>
      </c>
    </row>
    <row r="396" spans="1:4" x14ac:dyDescent="0.2">
      <c r="A396" s="38">
        <v>45633</v>
      </c>
      <c r="B396" s="61">
        <v>5.9135149829169058E-2</v>
      </c>
      <c r="C396" s="61">
        <v>3.1109763761754824E-2</v>
      </c>
      <c r="D396" s="65">
        <v>8.1695131413540706E-2</v>
      </c>
    </row>
    <row r="397" spans="1:4" x14ac:dyDescent="0.2">
      <c r="A397" s="38">
        <v>45634</v>
      </c>
      <c r="B397" s="61">
        <v>-8.6197566390321511E-3</v>
      </c>
      <c r="C397" s="61">
        <v>-1.8462453023629546E-2</v>
      </c>
      <c r="D397" s="65">
        <v>-0.13958759855131853</v>
      </c>
    </row>
    <row r="398" spans="1:4" x14ac:dyDescent="0.2">
      <c r="A398" s="38">
        <v>45635</v>
      </c>
      <c r="B398" s="61">
        <v>9.0961785450474231E-2</v>
      </c>
      <c r="C398" s="61">
        <v>3.2980949390846552E-2</v>
      </c>
      <c r="D398" s="65">
        <v>8.5762739078921763E-2</v>
      </c>
    </row>
    <row r="399" spans="1:4" x14ac:dyDescent="0.2">
      <c r="A399" s="38">
        <v>45637</v>
      </c>
      <c r="B399" s="61">
        <v>4.9735702564144328E-2</v>
      </c>
      <c r="C399" s="61">
        <v>2.2032205294989077E-2</v>
      </c>
      <c r="D399" s="65">
        <v>-5.2368461917316634E-3</v>
      </c>
    </row>
    <row r="400" spans="1:4" ht="17" thickBot="1" x14ac:dyDescent="0.25">
      <c r="A400" s="39">
        <v>45638</v>
      </c>
      <c r="B400" s="66">
        <v>4.7251860915553237E-2</v>
      </c>
      <c r="C400" s="66">
        <v>9.0077119829268439E-3</v>
      </c>
      <c r="D400" s="67">
        <v>-5.949517626138082E-3</v>
      </c>
    </row>
  </sheetData>
  <mergeCells count="3">
    <mergeCell ref="F1:G1"/>
    <mergeCell ref="F3:G3"/>
    <mergeCell ref="F10:G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B8A0E-5F68-3A48-A32F-161AB5369DFE}">
  <dimension ref="A1:I26"/>
  <sheetViews>
    <sheetView tabSelected="1" zoomScale="140" workbookViewId="0">
      <selection activeCell="K8" sqref="K8"/>
    </sheetView>
  </sheetViews>
  <sheetFormatPr baseColWidth="10" defaultRowHeight="16" x14ac:dyDescent="0.2"/>
  <cols>
    <col min="1" max="1" width="45.33203125" bestFit="1" customWidth="1"/>
    <col min="2" max="2" width="16.83203125" customWidth="1"/>
  </cols>
  <sheetData>
    <row r="1" spans="1:9" ht="17" thickBot="1" x14ac:dyDescent="0.25"/>
    <row r="2" spans="1:9" ht="17" thickBot="1" x14ac:dyDescent="0.25">
      <c r="A2" s="95"/>
      <c r="B2" s="53"/>
      <c r="C2" s="53"/>
      <c r="D2" s="53"/>
      <c r="E2" s="53"/>
      <c r="F2" s="53"/>
      <c r="G2" s="53"/>
      <c r="H2" s="53"/>
      <c r="I2" s="54"/>
    </row>
    <row r="3" spans="1:9" x14ac:dyDescent="0.2">
      <c r="A3" s="84" t="s">
        <v>61</v>
      </c>
      <c r="B3" s="88"/>
      <c r="C3" s="96"/>
      <c r="D3" s="96"/>
      <c r="E3" s="96"/>
      <c r="F3" s="96"/>
      <c r="G3" s="96"/>
      <c r="H3" s="96"/>
      <c r="I3" s="2"/>
    </row>
    <row r="4" spans="1:9" x14ac:dyDescent="0.2">
      <c r="A4" s="55"/>
      <c r="B4" s="2"/>
      <c r="C4" s="96"/>
      <c r="D4" s="96"/>
      <c r="E4" s="96"/>
      <c r="F4" s="96"/>
      <c r="G4" s="96"/>
      <c r="H4" s="96"/>
      <c r="I4" s="2"/>
    </row>
    <row r="5" spans="1:9" x14ac:dyDescent="0.2">
      <c r="A5" s="10" t="s">
        <v>69</v>
      </c>
      <c r="B5" s="72">
        <v>-0.1</v>
      </c>
      <c r="C5" s="96"/>
      <c r="D5" s="96"/>
      <c r="E5" s="96"/>
      <c r="F5" s="96"/>
      <c r="G5" s="96"/>
      <c r="H5" s="96"/>
      <c r="I5" s="2"/>
    </row>
    <row r="6" spans="1:9" x14ac:dyDescent="0.2">
      <c r="A6" s="10" t="s">
        <v>67</v>
      </c>
      <c r="B6" s="72">
        <v>-0.25</v>
      </c>
      <c r="C6" s="96"/>
      <c r="D6" s="96"/>
      <c r="E6" s="96"/>
      <c r="F6" s="96"/>
      <c r="G6" s="96"/>
      <c r="H6" s="96"/>
      <c r="I6" s="2"/>
    </row>
    <row r="7" spans="1:9" x14ac:dyDescent="0.2">
      <c r="A7" s="10" t="s">
        <v>70</v>
      </c>
      <c r="B7" s="72">
        <v>0.1</v>
      </c>
      <c r="C7" s="96"/>
      <c r="D7" s="96"/>
      <c r="E7" s="96"/>
      <c r="F7" s="96"/>
      <c r="G7" s="96"/>
      <c r="H7" s="96"/>
      <c r="I7" s="2"/>
    </row>
    <row r="8" spans="1:9" x14ac:dyDescent="0.2">
      <c r="A8" s="10" t="s">
        <v>1</v>
      </c>
      <c r="B8" s="73">
        <v>1000000</v>
      </c>
      <c r="C8" s="96"/>
      <c r="D8" s="96"/>
      <c r="E8" s="96"/>
      <c r="F8" s="96"/>
      <c r="G8" s="96"/>
      <c r="H8" s="96"/>
      <c r="I8" s="2"/>
    </row>
    <row r="9" spans="1:9" x14ac:dyDescent="0.2">
      <c r="A9" s="10" t="s">
        <v>64</v>
      </c>
      <c r="B9" s="74">
        <v>0.65100000000000002</v>
      </c>
      <c r="C9" s="96"/>
      <c r="D9" s="96"/>
      <c r="E9" s="96"/>
      <c r="F9" s="96"/>
      <c r="G9" s="96"/>
      <c r="H9" s="96"/>
      <c r="I9" s="2"/>
    </row>
    <row r="10" spans="1:9" x14ac:dyDescent="0.2">
      <c r="A10" s="10" t="s">
        <v>68</v>
      </c>
      <c r="B10" s="75">
        <f>B6 - B7</f>
        <v>-0.35</v>
      </c>
      <c r="C10" s="96"/>
      <c r="D10" s="96"/>
      <c r="E10" s="96"/>
      <c r="F10" s="96"/>
      <c r="G10" s="96"/>
      <c r="H10" s="96"/>
      <c r="I10" s="2"/>
    </row>
    <row r="11" spans="1:9" x14ac:dyDescent="0.2">
      <c r="A11" s="10" t="s">
        <v>62</v>
      </c>
      <c r="B11" s="75">
        <f>'Regression Analysis'!G18</f>
        <v>1.7326755326498013</v>
      </c>
      <c r="C11" s="96"/>
      <c r="D11" s="96"/>
      <c r="E11" s="96"/>
      <c r="F11" s="96"/>
      <c r="G11" s="96"/>
      <c r="H11" s="96"/>
      <c r="I11" s="2"/>
    </row>
    <row r="12" spans="1:9" x14ac:dyDescent="0.2">
      <c r="A12" s="10" t="s">
        <v>63</v>
      </c>
      <c r="B12" s="75">
        <f>'Regression Analysis'!G19</f>
        <v>-7.6416237315654794E-3</v>
      </c>
      <c r="C12" s="96"/>
      <c r="D12" s="96"/>
      <c r="E12" s="96"/>
      <c r="F12" s="96"/>
      <c r="G12" s="96"/>
      <c r="H12" s="96"/>
      <c r="I12" s="2"/>
    </row>
    <row r="13" spans="1:9" x14ac:dyDescent="0.2">
      <c r="A13" s="10" t="s">
        <v>65</v>
      </c>
      <c r="B13" s="76">
        <v>-0.1</v>
      </c>
      <c r="C13" s="96"/>
      <c r="D13" s="96"/>
      <c r="E13" s="96"/>
      <c r="F13" s="96"/>
      <c r="G13" s="96"/>
      <c r="H13" s="96"/>
      <c r="I13" s="2"/>
    </row>
    <row r="14" spans="1:9" x14ac:dyDescent="0.2">
      <c r="A14" s="10" t="s">
        <v>66</v>
      </c>
      <c r="B14" s="74">
        <v>0</v>
      </c>
      <c r="C14" s="96"/>
      <c r="D14" s="96"/>
      <c r="E14" s="96"/>
      <c r="F14" s="96"/>
      <c r="G14" s="96"/>
      <c r="H14" s="96"/>
      <c r="I14" s="2"/>
    </row>
    <row r="15" spans="1:9" x14ac:dyDescent="0.2">
      <c r="A15" s="10" t="s">
        <v>73</v>
      </c>
      <c r="B15" s="74">
        <f>B5*B11</f>
        <v>-0.17326755326498014</v>
      </c>
      <c r="C15" s="96"/>
      <c r="D15" s="96"/>
      <c r="E15" s="96"/>
      <c r="F15" s="96"/>
      <c r="G15" s="96"/>
      <c r="H15" s="96"/>
      <c r="I15" s="2"/>
    </row>
    <row r="16" spans="1:9" x14ac:dyDescent="0.2">
      <c r="A16" s="10" t="s">
        <v>74</v>
      </c>
      <c r="B16" s="74">
        <f>B12*B10</f>
        <v>2.6745683060479175E-3</v>
      </c>
      <c r="C16" s="96"/>
      <c r="D16" s="96"/>
      <c r="E16" s="96"/>
      <c r="F16" s="96"/>
      <c r="G16" s="96"/>
      <c r="H16" s="96"/>
      <c r="I16" s="2"/>
    </row>
    <row r="17" spans="1:9" x14ac:dyDescent="0.2">
      <c r="A17" s="10" t="s">
        <v>75</v>
      </c>
      <c r="B17" s="11">
        <f>B15+B16</f>
        <v>-0.17059298495893221</v>
      </c>
      <c r="C17" s="96"/>
      <c r="D17" s="96"/>
      <c r="E17" s="96"/>
      <c r="F17" s="96"/>
      <c r="G17" s="96"/>
      <c r="H17" s="96"/>
      <c r="I17" s="2"/>
    </row>
    <row r="18" spans="1:9" x14ac:dyDescent="0.2">
      <c r="A18" s="55"/>
      <c r="B18" s="2"/>
      <c r="C18" s="96"/>
      <c r="D18" s="96"/>
      <c r="E18" s="96"/>
      <c r="F18" s="96"/>
      <c r="G18" s="96"/>
      <c r="H18" s="96"/>
      <c r="I18" s="2"/>
    </row>
    <row r="19" spans="1:9" x14ac:dyDescent="0.2">
      <c r="A19" s="70" t="s">
        <v>72</v>
      </c>
      <c r="B19" s="71">
        <f>B11*B5 + B12*B10</f>
        <v>-0.17059298495893221</v>
      </c>
      <c r="C19" s="96"/>
      <c r="D19" s="96"/>
      <c r="E19" s="96"/>
      <c r="F19" s="96"/>
      <c r="G19" s="96"/>
      <c r="H19" s="96"/>
      <c r="I19" s="2"/>
    </row>
    <row r="20" spans="1:9" x14ac:dyDescent="0.2">
      <c r="A20" s="55"/>
      <c r="B20" s="2"/>
      <c r="C20" s="96"/>
      <c r="D20" s="96"/>
      <c r="E20" s="96"/>
      <c r="F20" s="96"/>
      <c r="G20" s="96"/>
      <c r="H20" s="96"/>
      <c r="I20" s="2"/>
    </row>
    <row r="21" spans="1:9" ht="17" thickBot="1" x14ac:dyDescent="0.25">
      <c r="A21" s="68" t="s">
        <v>71</v>
      </c>
      <c r="B21" s="69">
        <f>B8*ABS(B19)</f>
        <v>170592.98495893221</v>
      </c>
      <c r="C21" s="96"/>
      <c r="D21" s="96"/>
      <c r="E21" s="96"/>
      <c r="F21" s="96"/>
      <c r="G21" s="96"/>
      <c r="H21" s="96"/>
      <c r="I21" s="2"/>
    </row>
    <row r="22" spans="1:9" x14ac:dyDescent="0.2">
      <c r="A22" s="55"/>
      <c r="B22" s="96"/>
      <c r="C22" s="96"/>
      <c r="D22" s="96"/>
      <c r="E22" s="96"/>
      <c r="F22" s="96"/>
      <c r="G22" s="96"/>
      <c r="H22" s="96"/>
      <c r="I22" s="2"/>
    </row>
    <row r="23" spans="1:9" ht="17" thickBot="1" x14ac:dyDescent="0.25">
      <c r="A23" s="97"/>
      <c r="B23" s="4"/>
      <c r="C23" s="4"/>
      <c r="D23" s="4"/>
      <c r="E23" s="4"/>
      <c r="F23" s="4"/>
      <c r="G23" s="4"/>
      <c r="H23" s="4"/>
      <c r="I23" s="5"/>
    </row>
    <row r="24" spans="1:9" x14ac:dyDescent="0.2">
      <c r="B24" s="17"/>
    </row>
    <row r="25" spans="1:9" x14ac:dyDescent="0.2">
      <c r="B25" s="17"/>
    </row>
    <row r="26" spans="1:9" x14ac:dyDescent="0.2">
      <c r="B26" s="17"/>
    </row>
  </sheetData>
  <mergeCells count="1">
    <mergeCell ref="A3:B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ANZ BANK- VaR</vt:lpstr>
      <vt:lpstr>Stress Test- Data</vt:lpstr>
      <vt:lpstr>Brown minus green factor</vt:lpstr>
      <vt:lpstr>Regression Analysis</vt:lpstr>
      <vt:lpstr>Top-Down Stress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Dhruthi Suresh</cp:lastModifiedBy>
  <dcterms:created xsi:type="dcterms:W3CDTF">2025-10-10T02:45:09Z</dcterms:created>
  <dcterms:modified xsi:type="dcterms:W3CDTF">2025-10-10T11:51:38Z</dcterms:modified>
</cp:coreProperties>
</file>